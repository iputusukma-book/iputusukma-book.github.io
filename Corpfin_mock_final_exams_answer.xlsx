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tu.sukma\Downloads\"/>
    </mc:Choice>
  </mc:AlternateContent>
  <xr:revisionPtr revIDLastSave="0" documentId="8_{311A24A6-DA62-48DC-929B-68E697173FD9}" xr6:coauthVersionLast="47" xr6:coauthVersionMax="47" xr10:uidLastSave="{00000000-0000-0000-0000-000000000000}"/>
  <bookViews>
    <workbookView xWindow="-98" yWindow="13403" windowWidth="21795" windowHeight="12975" tabRatio="500" firstSheet="4" activeTab="7" xr2:uid="{00000000-000D-0000-FFFF-FFFF00000000}"/>
  </bookViews>
  <sheets>
    <sheet name="Assumptions" sheetId="1" r:id="rId1"/>
    <sheet name="WACC" sheetId="2" r:id="rId2"/>
    <sheet name="Income &amp; Cash Flow" sheetId="3" r:id="rId3"/>
    <sheet name="NPV Analysis" sheetId="4" r:id="rId4"/>
    <sheet name="Break-Even &amp; DOL" sheetId="5" r:id="rId5"/>
    <sheet name="Summary Dashboard" sheetId="6" r:id="rId6"/>
    <sheet name="SML" sheetId="8" r:id="rId7"/>
    <sheet name="Flotation Cost" sheetId="9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9" l="1"/>
  <c r="B28" i="9"/>
  <c r="B30" i="9" s="1"/>
  <c r="B27" i="9"/>
  <c r="B18" i="9"/>
  <c r="B16" i="9"/>
  <c r="B17" i="9" s="1"/>
  <c r="B19" i="9" s="1"/>
  <c r="B3" i="9"/>
  <c r="C13" i="8"/>
  <c r="C14" i="8"/>
  <c r="D5" i="8"/>
  <c r="D9" i="8" s="1"/>
  <c r="D16" i="5"/>
  <c r="D28" i="3"/>
  <c r="B37" i="3"/>
  <c r="B14" i="6"/>
  <c r="B13" i="6"/>
  <c r="B12" i="6"/>
  <c r="B11" i="6"/>
  <c r="B8" i="6"/>
  <c r="B7" i="6"/>
  <c r="B6" i="6"/>
  <c r="B5" i="6"/>
  <c r="B4" i="6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D41" i="3"/>
  <c r="AG36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D18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D12" i="3"/>
  <c r="D11" i="3"/>
  <c r="C7" i="3"/>
  <c r="B7" i="3"/>
  <c r="B8" i="2"/>
  <c r="B7" i="2"/>
  <c r="B6" i="2"/>
  <c r="B4" i="2"/>
  <c r="B47" i="1"/>
  <c r="B5" i="2" s="1"/>
  <c r="B31" i="1"/>
  <c r="B29" i="1"/>
  <c r="B24" i="1"/>
  <c r="B19" i="1"/>
  <c r="B18" i="1"/>
  <c r="B13" i="1"/>
  <c r="B14" i="1" s="1"/>
  <c r="B11" i="1"/>
  <c r="B7" i="1"/>
  <c r="B7" i="9" l="1"/>
  <c r="B24" i="9" s="1"/>
  <c r="B31" i="9" s="1"/>
  <c r="B6" i="9"/>
  <c r="C15" i="8"/>
  <c r="B14" i="8"/>
  <c r="D17" i="5"/>
  <c r="B28" i="6"/>
  <c r="D43" i="3"/>
  <c r="D26" i="3" s="1"/>
  <c r="E41" i="3"/>
  <c r="AG33" i="3"/>
  <c r="AG7" i="5"/>
  <c r="AF33" i="3"/>
  <c r="AF7" i="5"/>
  <c r="AE33" i="3"/>
  <c r="AE7" i="5"/>
  <c r="AD7" i="5"/>
  <c r="AD33" i="3"/>
  <c r="AC33" i="3"/>
  <c r="AC7" i="5"/>
  <c r="AB33" i="3"/>
  <c r="AB7" i="5"/>
  <c r="AA33" i="3"/>
  <c r="AA7" i="5"/>
  <c r="Z33" i="3"/>
  <c r="Z7" i="5"/>
  <c r="Y33" i="3"/>
  <c r="Y7" i="5"/>
  <c r="X33" i="3"/>
  <c r="X7" i="5"/>
  <c r="W33" i="3"/>
  <c r="W7" i="5"/>
  <c r="V33" i="3"/>
  <c r="V7" i="5"/>
  <c r="U33" i="3"/>
  <c r="U7" i="5"/>
  <c r="T33" i="3"/>
  <c r="T7" i="5"/>
  <c r="S33" i="3"/>
  <c r="S7" i="5"/>
  <c r="R33" i="3"/>
  <c r="R7" i="5"/>
  <c r="Q7" i="5"/>
  <c r="Q33" i="3"/>
  <c r="P33" i="3"/>
  <c r="P7" i="5"/>
  <c r="O33" i="3"/>
  <c r="O7" i="5"/>
  <c r="N33" i="3"/>
  <c r="N7" i="5"/>
  <c r="M7" i="5"/>
  <c r="M33" i="3"/>
  <c r="L33" i="3"/>
  <c r="L7" i="5"/>
  <c r="K33" i="3"/>
  <c r="K7" i="5"/>
  <c r="J33" i="3"/>
  <c r="J7" i="5"/>
  <c r="I33" i="3"/>
  <c r="I7" i="5"/>
  <c r="H33" i="3"/>
  <c r="H7" i="5"/>
  <c r="G33" i="3"/>
  <c r="G7" i="5"/>
  <c r="F33" i="3"/>
  <c r="F7" i="5"/>
  <c r="E7" i="5"/>
  <c r="E33" i="3"/>
  <c r="D33" i="3"/>
  <c r="D7" i="5"/>
  <c r="D4" i="5"/>
  <c r="E18" i="3"/>
  <c r="D9" i="5"/>
  <c r="E12" i="3"/>
  <c r="D10" i="5"/>
  <c r="D13" i="3"/>
  <c r="E11" i="3"/>
  <c r="B20" i="2"/>
  <c r="B22" i="2"/>
  <c r="B23" i="2"/>
  <c r="B11" i="2"/>
  <c r="B13" i="2" s="1"/>
  <c r="B16" i="2" s="1"/>
  <c r="H6" i="3"/>
  <c r="M6" i="3"/>
  <c r="R6" i="3"/>
  <c r="W6" i="3"/>
  <c r="AB6" i="3"/>
  <c r="H34" i="3"/>
  <c r="M34" i="3"/>
  <c r="R34" i="3"/>
  <c r="W34" i="3"/>
  <c r="AB34" i="3"/>
  <c r="B6" i="3"/>
  <c r="B8" i="3" s="1"/>
  <c r="B38" i="3" s="1"/>
  <c r="B4" i="4" s="1"/>
  <c r="C6" i="3"/>
  <c r="C8" i="3" s="1"/>
  <c r="C37" i="3" s="1"/>
  <c r="C38" i="3" s="1"/>
  <c r="C4" i="4" s="1"/>
  <c r="B8" i="9" l="1"/>
  <c r="B9" i="9" s="1"/>
  <c r="B13" i="9"/>
  <c r="B20" i="9" s="1"/>
  <c r="B34" i="9" s="1"/>
  <c r="B35" i="9" s="1"/>
  <c r="C16" i="8"/>
  <c r="B15" i="8"/>
  <c r="E43" i="3"/>
  <c r="E26" i="3" s="1"/>
  <c r="F41" i="3"/>
  <c r="F18" i="3"/>
  <c r="E4" i="5"/>
  <c r="F12" i="3"/>
  <c r="E9" i="5"/>
  <c r="D17" i="3"/>
  <c r="D19" i="3"/>
  <c r="D24" i="5" s="1"/>
  <c r="D3" i="5"/>
  <c r="B24" i="6"/>
  <c r="E13" i="3"/>
  <c r="E10" i="5"/>
  <c r="F11" i="3"/>
  <c r="B21" i="2"/>
  <c r="B15" i="6"/>
  <c r="B17" i="2"/>
  <c r="B24" i="2"/>
  <c r="B9" i="4"/>
  <c r="B16" i="6"/>
  <c r="C17" i="8" l="1"/>
  <c r="B16" i="8"/>
  <c r="G41" i="3"/>
  <c r="F43" i="3"/>
  <c r="F26" i="3" s="1"/>
  <c r="F4" i="5"/>
  <c r="G18" i="3"/>
  <c r="G12" i="3"/>
  <c r="F9" i="5"/>
  <c r="D25" i="3"/>
  <c r="B25" i="6"/>
  <c r="D12" i="5"/>
  <c r="D13" i="5" s="1"/>
  <c r="D20" i="3"/>
  <c r="D6" i="5" s="1"/>
  <c r="D5" i="5"/>
  <c r="E17" i="3"/>
  <c r="E25" i="3" s="1"/>
  <c r="E19" i="3"/>
  <c r="E3" i="5"/>
  <c r="E24" i="5"/>
  <c r="G11" i="3"/>
  <c r="F13" i="3"/>
  <c r="F10" i="5"/>
  <c r="B25" i="2"/>
  <c r="C5" i="4"/>
  <c r="C6" i="4" s="1"/>
  <c r="D5" i="4"/>
  <c r="F5" i="4"/>
  <c r="H5" i="4"/>
  <c r="J5" i="4"/>
  <c r="L5" i="4"/>
  <c r="N5" i="4"/>
  <c r="P5" i="4"/>
  <c r="R5" i="4"/>
  <c r="T5" i="4"/>
  <c r="V5" i="4"/>
  <c r="AF5" i="4"/>
  <c r="B17" i="6"/>
  <c r="B5" i="4"/>
  <c r="B6" i="4" s="1"/>
  <c r="E5" i="4"/>
  <c r="G5" i="4"/>
  <c r="I5" i="4"/>
  <c r="K5" i="4"/>
  <c r="M5" i="4"/>
  <c r="O5" i="4"/>
  <c r="Q5" i="4"/>
  <c r="S5" i="4"/>
  <c r="U5" i="4"/>
  <c r="W5" i="4"/>
  <c r="X5" i="4"/>
  <c r="Y5" i="4"/>
  <c r="Z5" i="4"/>
  <c r="AA5" i="4"/>
  <c r="AB5" i="4"/>
  <c r="AC5" i="4"/>
  <c r="AD5" i="4"/>
  <c r="AE5" i="4"/>
  <c r="AG5" i="4"/>
  <c r="B10" i="4"/>
  <c r="C18" i="8" l="1"/>
  <c r="B17" i="8"/>
  <c r="G43" i="3"/>
  <c r="G26" i="3" s="1"/>
  <c r="H41" i="3"/>
  <c r="H18" i="3"/>
  <c r="G4" i="5"/>
  <c r="H12" i="3"/>
  <c r="G9" i="5"/>
  <c r="D27" i="3"/>
  <c r="D8" i="5"/>
  <c r="D25" i="5"/>
  <c r="B30" i="6" s="1"/>
  <c r="D20" i="5"/>
  <c r="E27" i="3"/>
  <c r="E8" i="5"/>
  <c r="E25" i="5"/>
  <c r="E12" i="5"/>
  <c r="E13" i="5" s="1"/>
  <c r="E20" i="3"/>
  <c r="E6" i="5" s="1"/>
  <c r="E5" i="5"/>
  <c r="G13" i="3"/>
  <c r="G10" i="5"/>
  <c r="H11" i="3"/>
  <c r="F17" i="3"/>
  <c r="F25" i="3" s="1"/>
  <c r="F19" i="3"/>
  <c r="F3" i="5"/>
  <c r="F24" i="5"/>
  <c r="C19" i="8" l="1"/>
  <c r="B18" i="8"/>
  <c r="I41" i="3"/>
  <c r="H43" i="3"/>
  <c r="H26" i="3" s="1"/>
  <c r="I18" i="3"/>
  <c r="H4" i="5"/>
  <c r="I12" i="3"/>
  <c r="H9" i="5"/>
  <c r="D29" i="3"/>
  <c r="D21" i="5"/>
  <c r="B29" i="6"/>
  <c r="E28" i="3"/>
  <c r="E29" i="3" s="1"/>
  <c r="E32" i="3" s="1"/>
  <c r="E38" i="3" s="1"/>
  <c r="E4" i="4" s="1"/>
  <c r="E6" i="4" s="1"/>
  <c r="E20" i="5"/>
  <c r="E21" i="5" s="1"/>
  <c r="E16" i="5"/>
  <c r="E17" i="5" s="1"/>
  <c r="G17" i="3"/>
  <c r="G25" i="3" s="1"/>
  <c r="G19" i="3"/>
  <c r="G3" i="5"/>
  <c r="G24" i="5"/>
  <c r="I11" i="3"/>
  <c r="H13" i="3"/>
  <c r="H10" i="5"/>
  <c r="F27" i="3"/>
  <c r="F8" i="5"/>
  <c r="F25" i="5"/>
  <c r="F12" i="5"/>
  <c r="F13" i="5" s="1"/>
  <c r="F20" i="3"/>
  <c r="F6" i="5" s="1"/>
  <c r="F5" i="5"/>
  <c r="C20" i="8" l="1"/>
  <c r="B19" i="8"/>
  <c r="I43" i="3"/>
  <c r="I26" i="3" s="1"/>
  <c r="J41" i="3"/>
  <c r="J18" i="3"/>
  <c r="I4" i="5"/>
  <c r="J12" i="3"/>
  <c r="I9" i="5"/>
  <c r="D32" i="3"/>
  <c r="D38" i="3" s="1"/>
  <c r="B26" i="6"/>
  <c r="G27" i="3"/>
  <c r="G8" i="5"/>
  <c r="G25" i="5"/>
  <c r="G12" i="5"/>
  <c r="G13" i="5" s="1"/>
  <c r="G20" i="3"/>
  <c r="G6" i="5" s="1"/>
  <c r="G5" i="5"/>
  <c r="I13" i="3"/>
  <c r="I10" i="5"/>
  <c r="J11" i="3"/>
  <c r="H17" i="3"/>
  <c r="H25" i="3" s="1"/>
  <c r="H19" i="3"/>
  <c r="H3" i="5"/>
  <c r="H24" i="5"/>
  <c r="F28" i="3"/>
  <c r="F29" i="3"/>
  <c r="F32" i="3" s="1"/>
  <c r="F38" i="3" s="1"/>
  <c r="F4" i="4" s="1"/>
  <c r="F6" i="4" s="1"/>
  <c r="F20" i="5"/>
  <c r="F21" i="5" s="1"/>
  <c r="F16" i="5"/>
  <c r="F17" i="5" s="1"/>
  <c r="C21" i="8" l="1"/>
  <c r="B20" i="8"/>
  <c r="J43" i="3"/>
  <c r="J26" i="3" s="1"/>
  <c r="K41" i="3"/>
  <c r="K18" i="3"/>
  <c r="J4" i="5"/>
  <c r="K12" i="3"/>
  <c r="J9" i="5"/>
  <c r="D4" i="4"/>
  <c r="D6" i="4" s="1"/>
  <c r="B27" i="6"/>
  <c r="G28" i="3"/>
  <c r="G29" i="3" s="1"/>
  <c r="G32" i="3" s="1"/>
  <c r="G38" i="3" s="1"/>
  <c r="G4" i="4" s="1"/>
  <c r="G6" i="4" s="1"/>
  <c r="G20" i="5"/>
  <c r="G21" i="5" s="1"/>
  <c r="G16" i="5"/>
  <c r="G17" i="5" s="1"/>
  <c r="I17" i="3"/>
  <c r="I25" i="3" s="1"/>
  <c r="I19" i="3"/>
  <c r="I3" i="5"/>
  <c r="I24" i="5"/>
  <c r="K11" i="3"/>
  <c r="J13" i="3"/>
  <c r="J10" i="5"/>
  <c r="H27" i="3"/>
  <c r="H8" i="5"/>
  <c r="H25" i="5"/>
  <c r="H12" i="5"/>
  <c r="H13" i="5" s="1"/>
  <c r="H20" i="3"/>
  <c r="H6" i="5" s="1"/>
  <c r="H5" i="5"/>
  <c r="C22" i="8" l="1"/>
  <c r="B21" i="8"/>
  <c r="K43" i="3"/>
  <c r="K26" i="3" s="1"/>
  <c r="L41" i="3"/>
  <c r="L18" i="3"/>
  <c r="K4" i="5"/>
  <c r="L12" i="3"/>
  <c r="K9" i="5"/>
  <c r="I27" i="3"/>
  <c r="I8" i="5"/>
  <c r="I25" i="5"/>
  <c r="I12" i="5"/>
  <c r="I13" i="5" s="1"/>
  <c r="I20" i="3"/>
  <c r="I6" i="5" s="1"/>
  <c r="I5" i="5"/>
  <c r="K13" i="3"/>
  <c r="K10" i="5"/>
  <c r="L11" i="3"/>
  <c r="J17" i="3"/>
  <c r="J25" i="3" s="1"/>
  <c r="J19" i="3"/>
  <c r="J3" i="5"/>
  <c r="J24" i="5"/>
  <c r="H28" i="3"/>
  <c r="H29" i="3" s="1"/>
  <c r="H32" i="3" s="1"/>
  <c r="H38" i="3" s="1"/>
  <c r="H4" i="4" s="1"/>
  <c r="H6" i="4" s="1"/>
  <c r="H20" i="5"/>
  <c r="H21" i="5" s="1"/>
  <c r="H16" i="5"/>
  <c r="H17" i="5" s="1"/>
  <c r="C23" i="8" l="1"/>
  <c r="B22" i="8"/>
  <c r="L43" i="3"/>
  <c r="L26" i="3" s="1"/>
  <c r="M41" i="3"/>
  <c r="M18" i="3"/>
  <c r="L4" i="5"/>
  <c r="M12" i="3"/>
  <c r="L9" i="5"/>
  <c r="I28" i="3"/>
  <c r="I29" i="3"/>
  <c r="I32" i="3" s="1"/>
  <c r="I38" i="3" s="1"/>
  <c r="I4" i="4" s="1"/>
  <c r="I6" i="4" s="1"/>
  <c r="I20" i="5"/>
  <c r="I21" i="5" s="1"/>
  <c r="I16" i="5"/>
  <c r="I17" i="5" s="1"/>
  <c r="K17" i="3"/>
  <c r="K25" i="3" s="1"/>
  <c r="K19" i="3"/>
  <c r="K3" i="5"/>
  <c r="K24" i="5"/>
  <c r="M11" i="3"/>
  <c r="L13" i="3"/>
  <c r="L10" i="5"/>
  <c r="J27" i="3"/>
  <c r="J8" i="5"/>
  <c r="J25" i="5"/>
  <c r="J12" i="5"/>
  <c r="J13" i="5" s="1"/>
  <c r="J20" i="3"/>
  <c r="J6" i="5" s="1"/>
  <c r="J5" i="5"/>
  <c r="C24" i="8" l="1"/>
  <c r="B23" i="8"/>
  <c r="N41" i="3"/>
  <c r="M43" i="3"/>
  <c r="M26" i="3" s="1"/>
  <c r="N18" i="3"/>
  <c r="M4" i="5"/>
  <c r="N12" i="3"/>
  <c r="M9" i="5"/>
  <c r="K27" i="3"/>
  <c r="K8" i="5"/>
  <c r="K25" i="5"/>
  <c r="K12" i="5"/>
  <c r="K13" i="5" s="1"/>
  <c r="K20" i="3"/>
  <c r="K6" i="5" s="1"/>
  <c r="K5" i="5"/>
  <c r="M13" i="3"/>
  <c r="M10" i="5"/>
  <c r="N11" i="3"/>
  <c r="L19" i="3"/>
  <c r="L3" i="5"/>
  <c r="L24" i="5"/>
  <c r="L17" i="3"/>
  <c r="L25" i="3" s="1"/>
  <c r="J28" i="3"/>
  <c r="J29" i="3"/>
  <c r="J32" i="3" s="1"/>
  <c r="J38" i="3" s="1"/>
  <c r="J4" i="4" s="1"/>
  <c r="J6" i="4" s="1"/>
  <c r="J20" i="5"/>
  <c r="J21" i="5" s="1"/>
  <c r="J16" i="5"/>
  <c r="J17" i="5" s="1"/>
  <c r="C25" i="8" l="1"/>
  <c r="B24" i="8"/>
  <c r="N43" i="3"/>
  <c r="N26" i="3" s="1"/>
  <c r="O41" i="3"/>
  <c r="O18" i="3"/>
  <c r="N4" i="5"/>
  <c r="O12" i="3"/>
  <c r="N9" i="5"/>
  <c r="K28" i="3"/>
  <c r="K29" i="3"/>
  <c r="K32" i="3" s="1"/>
  <c r="K38" i="3" s="1"/>
  <c r="K4" i="4" s="1"/>
  <c r="K6" i="4" s="1"/>
  <c r="K20" i="5"/>
  <c r="K21" i="5" s="1"/>
  <c r="K16" i="5"/>
  <c r="K17" i="5" s="1"/>
  <c r="M17" i="3"/>
  <c r="M25" i="3" s="1"/>
  <c r="M19" i="3"/>
  <c r="M3" i="5"/>
  <c r="M24" i="5"/>
  <c r="O11" i="3"/>
  <c r="N13" i="3"/>
  <c r="N10" i="5"/>
  <c r="L12" i="5"/>
  <c r="L13" i="5" s="1"/>
  <c r="L20" i="3"/>
  <c r="L6" i="5" s="1"/>
  <c r="L5" i="5"/>
  <c r="L27" i="3"/>
  <c r="L8" i="5"/>
  <c r="L25" i="5"/>
  <c r="C26" i="8" l="1"/>
  <c r="B25" i="8"/>
  <c r="O43" i="3"/>
  <c r="O26" i="3" s="1"/>
  <c r="P41" i="3"/>
  <c r="P18" i="3"/>
  <c r="O4" i="5"/>
  <c r="P12" i="3"/>
  <c r="O9" i="5"/>
  <c r="M27" i="3"/>
  <c r="M8" i="5"/>
  <c r="M25" i="5"/>
  <c r="M12" i="5"/>
  <c r="M13" i="5" s="1"/>
  <c r="M20" i="3"/>
  <c r="M6" i="5" s="1"/>
  <c r="M5" i="5"/>
  <c r="O13" i="3"/>
  <c r="O10" i="5"/>
  <c r="P11" i="3"/>
  <c r="N17" i="3"/>
  <c r="N25" i="3" s="1"/>
  <c r="N19" i="3"/>
  <c r="N3" i="5"/>
  <c r="N24" i="5"/>
  <c r="L20" i="5"/>
  <c r="L21" i="5" s="1"/>
  <c r="L16" i="5"/>
  <c r="L17" i="5" s="1"/>
  <c r="L28" i="3"/>
  <c r="L29" i="3"/>
  <c r="L32" i="3" s="1"/>
  <c r="L38" i="3" s="1"/>
  <c r="L4" i="4" s="1"/>
  <c r="L6" i="4" s="1"/>
  <c r="C27" i="8" l="1"/>
  <c r="B26" i="8"/>
  <c r="Q41" i="3"/>
  <c r="P43" i="3"/>
  <c r="P26" i="3" s="1"/>
  <c r="Q18" i="3"/>
  <c r="P4" i="5"/>
  <c r="Q12" i="3"/>
  <c r="P9" i="5"/>
  <c r="M28" i="3"/>
  <c r="M29" i="3"/>
  <c r="M32" i="3" s="1"/>
  <c r="M38" i="3" s="1"/>
  <c r="M4" i="4" s="1"/>
  <c r="M6" i="4" s="1"/>
  <c r="M20" i="5"/>
  <c r="M21" i="5" s="1"/>
  <c r="M16" i="5"/>
  <c r="M17" i="5" s="1"/>
  <c r="O19" i="3"/>
  <c r="O3" i="5"/>
  <c r="O24" i="5"/>
  <c r="O17" i="3"/>
  <c r="O25" i="3" s="1"/>
  <c r="Q11" i="3"/>
  <c r="P13" i="3"/>
  <c r="P10" i="5"/>
  <c r="N27" i="3"/>
  <c r="N8" i="5"/>
  <c r="N25" i="5"/>
  <c r="N12" i="5"/>
  <c r="N13" i="5" s="1"/>
  <c r="N20" i="3"/>
  <c r="N6" i="5" s="1"/>
  <c r="N5" i="5"/>
  <c r="C28" i="8" l="1"/>
  <c r="B27" i="8"/>
  <c r="R41" i="3"/>
  <c r="Q43" i="3"/>
  <c r="Q26" i="3" s="1"/>
  <c r="R18" i="3"/>
  <c r="Q4" i="5"/>
  <c r="R12" i="3"/>
  <c r="Q9" i="5"/>
  <c r="O12" i="5"/>
  <c r="O13" i="5" s="1"/>
  <c r="O20" i="3"/>
  <c r="O6" i="5" s="1"/>
  <c r="O5" i="5"/>
  <c r="O27" i="3"/>
  <c r="O8" i="5"/>
  <c r="O25" i="5"/>
  <c r="R11" i="3"/>
  <c r="Q13" i="3"/>
  <c r="Q10" i="5"/>
  <c r="P17" i="3"/>
  <c r="P25" i="3" s="1"/>
  <c r="P19" i="3"/>
  <c r="P3" i="5"/>
  <c r="P24" i="5"/>
  <c r="N28" i="3"/>
  <c r="N29" i="3" s="1"/>
  <c r="N32" i="3" s="1"/>
  <c r="N38" i="3" s="1"/>
  <c r="N4" i="4" s="1"/>
  <c r="N6" i="4" s="1"/>
  <c r="N20" i="5"/>
  <c r="N21" i="5" s="1"/>
  <c r="N16" i="5"/>
  <c r="N17" i="5" s="1"/>
  <c r="C29" i="8" l="1"/>
  <c r="B28" i="8"/>
  <c r="S41" i="3"/>
  <c r="R43" i="3"/>
  <c r="R26" i="3" s="1"/>
  <c r="S18" i="3"/>
  <c r="R4" i="5"/>
  <c r="S12" i="3"/>
  <c r="R9" i="5"/>
  <c r="O20" i="5"/>
  <c r="O21" i="5" s="1"/>
  <c r="O16" i="5"/>
  <c r="O17" i="5" s="1"/>
  <c r="O28" i="3"/>
  <c r="O29" i="3"/>
  <c r="O32" i="3" s="1"/>
  <c r="O38" i="3" s="1"/>
  <c r="O4" i="4" s="1"/>
  <c r="O6" i="4" s="1"/>
  <c r="R13" i="3"/>
  <c r="R10" i="5"/>
  <c r="S11" i="3"/>
  <c r="Q17" i="3"/>
  <c r="Q25" i="3" s="1"/>
  <c r="Q19" i="3"/>
  <c r="Q3" i="5"/>
  <c r="Q24" i="5"/>
  <c r="P27" i="3"/>
  <c r="P8" i="5"/>
  <c r="P25" i="5"/>
  <c r="P12" i="5"/>
  <c r="P13" i="5" s="1"/>
  <c r="P20" i="3"/>
  <c r="P6" i="5" s="1"/>
  <c r="P5" i="5"/>
  <c r="C30" i="8" l="1"/>
  <c r="B29" i="8"/>
  <c r="S43" i="3"/>
  <c r="S26" i="3" s="1"/>
  <c r="T41" i="3"/>
  <c r="T18" i="3"/>
  <c r="S4" i="5"/>
  <c r="T12" i="3"/>
  <c r="S9" i="5"/>
  <c r="R19" i="3"/>
  <c r="R3" i="5"/>
  <c r="R24" i="5"/>
  <c r="R17" i="3"/>
  <c r="R25" i="3" s="1"/>
  <c r="T11" i="3"/>
  <c r="S13" i="3"/>
  <c r="S10" i="5"/>
  <c r="Q27" i="3"/>
  <c r="Q8" i="5"/>
  <c r="Q25" i="5"/>
  <c r="Q12" i="5"/>
  <c r="Q13" i="5" s="1"/>
  <c r="Q20" i="3"/>
  <c r="Q6" i="5" s="1"/>
  <c r="Q5" i="5"/>
  <c r="P28" i="3"/>
  <c r="P29" i="3" s="1"/>
  <c r="P32" i="3" s="1"/>
  <c r="P38" i="3" s="1"/>
  <c r="P4" i="4" s="1"/>
  <c r="P6" i="4" s="1"/>
  <c r="P20" i="5"/>
  <c r="P21" i="5" s="1"/>
  <c r="P16" i="5"/>
  <c r="P17" i="5" s="1"/>
  <c r="C31" i="8" l="1"/>
  <c r="B30" i="8"/>
  <c r="T43" i="3"/>
  <c r="T26" i="3" s="1"/>
  <c r="U41" i="3"/>
  <c r="U18" i="3"/>
  <c r="T4" i="5"/>
  <c r="U12" i="3"/>
  <c r="T9" i="5"/>
  <c r="R12" i="5"/>
  <c r="R13" i="5" s="1"/>
  <c r="R20" i="3"/>
  <c r="R6" i="5" s="1"/>
  <c r="R5" i="5"/>
  <c r="R27" i="3"/>
  <c r="R8" i="5"/>
  <c r="R25" i="5"/>
  <c r="T13" i="3"/>
  <c r="T10" i="5"/>
  <c r="U11" i="3"/>
  <c r="S19" i="3"/>
  <c r="S3" i="5"/>
  <c r="S24" i="5"/>
  <c r="S17" i="3"/>
  <c r="S25" i="3" s="1"/>
  <c r="Q28" i="3"/>
  <c r="Q29" i="3"/>
  <c r="Q32" i="3" s="1"/>
  <c r="Q38" i="3" s="1"/>
  <c r="Q4" i="4" s="1"/>
  <c r="Q6" i="4" s="1"/>
  <c r="Q20" i="5"/>
  <c r="Q21" i="5" s="1"/>
  <c r="Q16" i="5"/>
  <c r="Q17" i="5" s="1"/>
  <c r="C32" i="8" l="1"/>
  <c r="B31" i="8"/>
  <c r="V41" i="3"/>
  <c r="U43" i="3"/>
  <c r="U26" i="3" s="1"/>
  <c r="V18" i="3"/>
  <c r="U4" i="5"/>
  <c r="V12" i="3"/>
  <c r="U9" i="5"/>
  <c r="R20" i="5"/>
  <c r="R21" i="5" s="1"/>
  <c r="R16" i="5"/>
  <c r="R17" i="5" s="1"/>
  <c r="R28" i="3"/>
  <c r="R29" i="3" s="1"/>
  <c r="R32" i="3" s="1"/>
  <c r="R38" i="3" s="1"/>
  <c r="R4" i="4" s="1"/>
  <c r="R6" i="4" s="1"/>
  <c r="T19" i="3"/>
  <c r="T3" i="5"/>
  <c r="T24" i="5"/>
  <c r="T17" i="3"/>
  <c r="T25" i="3" s="1"/>
  <c r="V11" i="3"/>
  <c r="U13" i="3"/>
  <c r="U10" i="5"/>
  <c r="S12" i="5"/>
  <c r="S13" i="5" s="1"/>
  <c r="S20" i="3"/>
  <c r="S6" i="5" s="1"/>
  <c r="S5" i="5"/>
  <c r="S27" i="3"/>
  <c r="S8" i="5"/>
  <c r="S25" i="5"/>
  <c r="C33" i="8" l="1"/>
  <c r="B32" i="8"/>
  <c r="W41" i="3"/>
  <c r="V43" i="3"/>
  <c r="V26" i="3" s="1"/>
  <c r="V4" i="5"/>
  <c r="W18" i="3"/>
  <c r="W12" i="3"/>
  <c r="V9" i="5"/>
  <c r="T12" i="5"/>
  <c r="T13" i="5" s="1"/>
  <c r="T20" i="3"/>
  <c r="T6" i="5" s="1"/>
  <c r="T5" i="5"/>
  <c r="T27" i="3"/>
  <c r="T8" i="5"/>
  <c r="T25" i="5"/>
  <c r="W11" i="3"/>
  <c r="V13" i="3"/>
  <c r="V10" i="5"/>
  <c r="U19" i="3"/>
  <c r="U3" i="5"/>
  <c r="U24" i="5"/>
  <c r="U17" i="3"/>
  <c r="U25" i="3" s="1"/>
  <c r="S20" i="5"/>
  <c r="S21" i="5" s="1"/>
  <c r="S16" i="5"/>
  <c r="S17" i="5" s="1"/>
  <c r="S28" i="3"/>
  <c r="S29" i="3" s="1"/>
  <c r="S32" i="3" s="1"/>
  <c r="S38" i="3" s="1"/>
  <c r="S4" i="4" s="1"/>
  <c r="S6" i="4" s="1"/>
  <c r="C34" i="8" l="1"/>
  <c r="B33" i="8"/>
  <c r="W43" i="3"/>
  <c r="W26" i="3" s="1"/>
  <c r="X41" i="3"/>
  <c r="X18" i="3"/>
  <c r="W4" i="5"/>
  <c r="X12" i="3"/>
  <c r="W9" i="5"/>
  <c r="T20" i="5"/>
  <c r="T21" i="5" s="1"/>
  <c r="T16" i="5"/>
  <c r="T17" i="5" s="1"/>
  <c r="T28" i="3"/>
  <c r="T29" i="3" s="1"/>
  <c r="T32" i="3" s="1"/>
  <c r="T38" i="3" s="1"/>
  <c r="T4" i="4" s="1"/>
  <c r="T6" i="4" s="1"/>
  <c r="X11" i="3"/>
  <c r="W13" i="3"/>
  <c r="W10" i="5"/>
  <c r="V17" i="3"/>
  <c r="V25" i="3" s="1"/>
  <c r="V19" i="3"/>
  <c r="V3" i="5"/>
  <c r="V24" i="5"/>
  <c r="U12" i="5"/>
  <c r="U13" i="5" s="1"/>
  <c r="U20" i="3"/>
  <c r="U6" i="5" s="1"/>
  <c r="U5" i="5"/>
  <c r="U27" i="3"/>
  <c r="U8" i="5"/>
  <c r="U25" i="5"/>
  <c r="C35" i="8" l="1"/>
  <c r="B34" i="8"/>
  <c r="Y41" i="3"/>
  <c r="X43" i="3"/>
  <c r="X26" i="3" s="1"/>
  <c r="Y18" i="3"/>
  <c r="X4" i="5"/>
  <c r="Y12" i="3"/>
  <c r="X9" i="5"/>
  <c r="Y11" i="3"/>
  <c r="X13" i="3"/>
  <c r="X10" i="5"/>
  <c r="W19" i="3"/>
  <c r="W3" i="5"/>
  <c r="W24" i="5"/>
  <c r="W17" i="3"/>
  <c r="W25" i="3" s="1"/>
  <c r="V27" i="3"/>
  <c r="V8" i="5"/>
  <c r="V25" i="5"/>
  <c r="V12" i="5"/>
  <c r="V13" i="5" s="1"/>
  <c r="V20" i="3"/>
  <c r="V6" i="5" s="1"/>
  <c r="V5" i="5"/>
  <c r="U20" i="5"/>
  <c r="U21" i="5" s="1"/>
  <c r="U16" i="5"/>
  <c r="U17" i="5" s="1"/>
  <c r="U29" i="3"/>
  <c r="U32" i="3" s="1"/>
  <c r="U38" i="3" s="1"/>
  <c r="U4" i="4" s="1"/>
  <c r="U6" i="4" s="1"/>
  <c r="U28" i="3"/>
  <c r="C36" i="8" l="1"/>
  <c r="B35" i="8"/>
  <c r="Z41" i="3"/>
  <c r="Y43" i="3"/>
  <c r="Y26" i="3" s="1"/>
  <c r="Z18" i="3"/>
  <c r="Y4" i="5"/>
  <c r="Z12" i="3"/>
  <c r="Y9" i="5"/>
  <c r="Z11" i="3"/>
  <c r="Y13" i="3"/>
  <c r="Y10" i="5"/>
  <c r="X19" i="3"/>
  <c r="X3" i="5"/>
  <c r="X24" i="5"/>
  <c r="X17" i="3"/>
  <c r="X25" i="3" s="1"/>
  <c r="W12" i="5"/>
  <c r="W13" i="5" s="1"/>
  <c r="W20" i="3"/>
  <c r="W6" i="5" s="1"/>
  <c r="W5" i="5"/>
  <c r="W27" i="3"/>
  <c r="W8" i="5"/>
  <c r="W25" i="5"/>
  <c r="V29" i="3"/>
  <c r="V32" i="3" s="1"/>
  <c r="V38" i="3" s="1"/>
  <c r="V4" i="4" s="1"/>
  <c r="V6" i="4" s="1"/>
  <c r="V28" i="3"/>
  <c r="V20" i="5"/>
  <c r="V21" i="5" s="1"/>
  <c r="V16" i="5"/>
  <c r="V17" i="5" s="1"/>
  <c r="C37" i="8" l="1"/>
  <c r="B36" i="8"/>
  <c r="Z43" i="3"/>
  <c r="Z26" i="3" s="1"/>
  <c r="AA41" i="3"/>
  <c r="AA18" i="3"/>
  <c r="Z4" i="5"/>
  <c r="AA12" i="3"/>
  <c r="Z9" i="5"/>
  <c r="AA11" i="3"/>
  <c r="Z13" i="3"/>
  <c r="Z10" i="5"/>
  <c r="Y17" i="3"/>
  <c r="Y25" i="3" s="1"/>
  <c r="Y19" i="3"/>
  <c r="Y3" i="5"/>
  <c r="Y24" i="5"/>
  <c r="X12" i="5"/>
  <c r="X13" i="5" s="1"/>
  <c r="X20" i="3"/>
  <c r="X6" i="5" s="1"/>
  <c r="X5" i="5"/>
  <c r="X27" i="3"/>
  <c r="X8" i="5"/>
  <c r="X25" i="5"/>
  <c r="W20" i="5"/>
  <c r="W21" i="5" s="1"/>
  <c r="W16" i="5"/>
  <c r="W17" i="5" s="1"/>
  <c r="W28" i="3"/>
  <c r="W29" i="3" s="1"/>
  <c r="W32" i="3" s="1"/>
  <c r="W38" i="3" s="1"/>
  <c r="W4" i="4" s="1"/>
  <c r="W6" i="4" s="1"/>
  <c r="C38" i="8" l="1"/>
  <c r="B37" i="8"/>
  <c r="AB41" i="3"/>
  <c r="AA43" i="3"/>
  <c r="AA26" i="3" s="1"/>
  <c r="AB18" i="3"/>
  <c r="AA4" i="5"/>
  <c r="AB12" i="3"/>
  <c r="AA9" i="5"/>
  <c r="AB11" i="3"/>
  <c r="AA13" i="3"/>
  <c r="AA10" i="5"/>
  <c r="Z19" i="3"/>
  <c r="Z3" i="5"/>
  <c r="Z24" i="5"/>
  <c r="Z17" i="3"/>
  <c r="Z25" i="3" s="1"/>
  <c r="Y27" i="3"/>
  <c r="Y8" i="5"/>
  <c r="Y25" i="5"/>
  <c r="Y20" i="3"/>
  <c r="Y6" i="5" s="1"/>
  <c r="Y12" i="5"/>
  <c r="Y13" i="5" s="1"/>
  <c r="Y5" i="5"/>
  <c r="X20" i="5"/>
  <c r="X21" i="5" s="1"/>
  <c r="X16" i="5"/>
  <c r="X17" i="5" s="1"/>
  <c r="X28" i="3"/>
  <c r="X29" i="3" s="1"/>
  <c r="X32" i="3" s="1"/>
  <c r="X38" i="3" s="1"/>
  <c r="X4" i="4" s="1"/>
  <c r="X6" i="4" s="1"/>
  <c r="C39" i="8" l="1"/>
  <c r="B38" i="8"/>
  <c r="AC41" i="3"/>
  <c r="AB43" i="3"/>
  <c r="AB26" i="3" s="1"/>
  <c r="AC18" i="3"/>
  <c r="AB4" i="5"/>
  <c r="AC12" i="3"/>
  <c r="AB9" i="5"/>
  <c r="AC11" i="3"/>
  <c r="AB13" i="3"/>
  <c r="AB10" i="5"/>
  <c r="AA17" i="3"/>
  <c r="AA25" i="3" s="1"/>
  <c r="AA19" i="3"/>
  <c r="AA3" i="5"/>
  <c r="AA24" i="5"/>
  <c r="Z20" i="3"/>
  <c r="Z6" i="5" s="1"/>
  <c r="Z12" i="5"/>
  <c r="Z13" i="5" s="1"/>
  <c r="Z5" i="5"/>
  <c r="Z27" i="3"/>
  <c r="Z8" i="5"/>
  <c r="Z25" i="5"/>
  <c r="Y28" i="3"/>
  <c r="Y29" i="3" s="1"/>
  <c r="Y32" i="3" s="1"/>
  <c r="Y38" i="3" s="1"/>
  <c r="Y4" i="4" s="1"/>
  <c r="Y6" i="4" s="1"/>
  <c r="Y20" i="5"/>
  <c r="Y21" i="5" s="1"/>
  <c r="Y16" i="5"/>
  <c r="Y17" i="5" s="1"/>
  <c r="C40" i="8" l="1"/>
  <c r="B39" i="8"/>
  <c r="AD41" i="3"/>
  <c r="AC43" i="3"/>
  <c r="AC26" i="3" s="1"/>
  <c r="AD18" i="3"/>
  <c r="AC4" i="5"/>
  <c r="AD12" i="3"/>
  <c r="AC9" i="5"/>
  <c r="AD11" i="3"/>
  <c r="AC13" i="3"/>
  <c r="AC10" i="5"/>
  <c r="AB19" i="3"/>
  <c r="AB3" i="5"/>
  <c r="AB24" i="5"/>
  <c r="AB17" i="3"/>
  <c r="AB25" i="3" s="1"/>
  <c r="AA27" i="3"/>
  <c r="AA8" i="5"/>
  <c r="AA25" i="5"/>
  <c r="AA12" i="5"/>
  <c r="AA13" i="5" s="1"/>
  <c r="AA20" i="3"/>
  <c r="AA6" i="5" s="1"/>
  <c r="AA5" i="5"/>
  <c r="Z20" i="5"/>
  <c r="Z21" i="5" s="1"/>
  <c r="Z16" i="5"/>
  <c r="Z17" i="5" s="1"/>
  <c r="Z28" i="3"/>
  <c r="Z29" i="3" s="1"/>
  <c r="Z32" i="3" s="1"/>
  <c r="Z38" i="3" s="1"/>
  <c r="Z4" i="4" s="1"/>
  <c r="Z6" i="4" s="1"/>
  <c r="C41" i="8" l="1"/>
  <c r="B40" i="8"/>
  <c r="AE41" i="3"/>
  <c r="AD43" i="3"/>
  <c r="AD26" i="3" s="1"/>
  <c r="AE18" i="3"/>
  <c r="AD4" i="5"/>
  <c r="AE12" i="3"/>
  <c r="AD9" i="5"/>
  <c r="AE11" i="3"/>
  <c r="AD13" i="3"/>
  <c r="AD10" i="5"/>
  <c r="AC17" i="3"/>
  <c r="AC25" i="3" s="1"/>
  <c r="AC19" i="3"/>
  <c r="AC3" i="5"/>
  <c r="AC24" i="5"/>
  <c r="AB12" i="5"/>
  <c r="AB13" i="5" s="1"/>
  <c r="AB20" i="3"/>
  <c r="AB6" i="5" s="1"/>
  <c r="AB5" i="5"/>
  <c r="AB27" i="3"/>
  <c r="AB8" i="5"/>
  <c r="AB25" i="5"/>
  <c r="AA28" i="3"/>
  <c r="AA29" i="3" s="1"/>
  <c r="AA32" i="3" s="1"/>
  <c r="AA38" i="3" s="1"/>
  <c r="AA4" i="4" s="1"/>
  <c r="AA6" i="4" s="1"/>
  <c r="AA20" i="5"/>
  <c r="AA21" i="5" s="1"/>
  <c r="AA16" i="5"/>
  <c r="AA17" i="5" s="1"/>
  <c r="C42" i="8" l="1"/>
  <c r="B41" i="8"/>
  <c r="AE43" i="3"/>
  <c r="AE26" i="3" s="1"/>
  <c r="AF41" i="3"/>
  <c r="AF18" i="3"/>
  <c r="AE4" i="5"/>
  <c r="AF12" i="3"/>
  <c r="AE9" i="5"/>
  <c r="AF11" i="3"/>
  <c r="AE13" i="3"/>
  <c r="AE10" i="5"/>
  <c r="AD17" i="3"/>
  <c r="AD25" i="3" s="1"/>
  <c r="AD19" i="3"/>
  <c r="AD24" i="5" s="1"/>
  <c r="AD3" i="5"/>
  <c r="AC27" i="3"/>
  <c r="AC8" i="5"/>
  <c r="AC25" i="5"/>
  <c r="AC12" i="5"/>
  <c r="AC13" i="5" s="1"/>
  <c r="AC20" i="3"/>
  <c r="AC6" i="5" s="1"/>
  <c r="AC5" i="5"/>
  <c r="AB20" i="5"/>
  <c r="AB21" i="5" s="1"/>
  <c r="AB16" i="5"/>
  <c r="AB17" i="5" s="1"/>
  <c r="AB28" i="3"/>
  <c r="AB29" i="3" s="1"/>
  <c r="AB32" i="3" s="1"/>
  <c r="AB38" i="3" s="1"/>
  <c r="AB4" i="4" s="1"/>
  <c r="AB6" i="4" s="1"/>
  <c r="C43" i="8" l="1"/>
  <c r="B42" i="8"/>
  <c r="AG41" i="3"/>
  <c r="AG43" i="3" s="1"/>
  <c r="AG26" i="3" s="1"/>
  <c r="AF43" i="3"/>
  <c r="AF26" i="3" s="1"/>
  <c r="AG18" i="3"/>
  <c r="AF4" i="5"/>
  <c r="AG12" i="3"/>
  <c r="AF9" i="5"/>
  <c r="AG11" i="3"/>
  <c r="AF13" i="3"/>
  <c r="AF10" i="5"/>
  <c r="AE17" i="3"/>
  <c r="AE25" i="3" s="1"/>
  <c r="AE19" i="3"/>
  <c r="AE3" i="5"/>
  <c r="AE24" i="5"/>
  <c r="AD27" i="3"/>
  <c r="AD8" i="5"/>
  <c r="AD25" i="5"/>
  <c r="AD12" i="5"/>
  <c r="AD13" i="5" s="1"/>
  <c r="AD20" i="3"/>
  <c r="AD6" i="5" s="1"/>
  <c r="AD5" i="5"/>
  <c r="AC28" i="3"/>
  <c r="AC29" i="3" s="1"/>
  <c r="AC32" i="3" s="1"/>
  <c r="AC38" i="3" s="1"/>
  <c r="AC4" i="4" s="1"/>
  <c r="AC6" i="4" s="1"/>
  <c r="AC20" i="5"/>
  <c r="AC21" i="5" s="1"/>
  <c r="AC16" i="5"/>
  <c r="AC17" i="5" s="1"/>
  <c r="C44" i="8" l="1"/>
  <c r="B43" i="8"/>
  <c r="AG4" i="5"/>
  <c r="AG9" i="5"/>
  <c r="AG13" i="3"/>
  <c r="AG10" i="5"/>
  <c r="AF17" i="3"/>
  <c r="AF25" i="3" s="1"/>
  <c r="AF19" i="3"/>
  <c r="AF3" i="5"/>
  <c r="AF24" i="5"/>
  <c r="AE27" i="3"/>
  <c r="AE8" i="5"/>
  <c r="AE25" i="5"/>
  <c r="AE12" i="5"/>
  <c r="AE13" i="5" s="1"/>
  <c r="AE20" i="3"/>
  <c r="AE6" i="5" s="1"/>
  <c r="AE5" i="5"/>
  <c r="AD28" i="3"/>
  <c r="AD29" i="3" s="1"/>
  <c r="AD32" i="3" s="1"/>
  <c r="AD38" i="3" s="1"/>
  <c r="AD4" i="4" s="1"/>
  <c r="AD6" i="4" s="1"/>
  <c r="AD20" i="5"/>
  <c r="AD21" i="5" s="1"/>
  <c r="AD16" i="5"/>
  <c r="AD17" i="5" s="1"/>
  <c r="C45" i="8" l="1"/>
  <c r="B44" i="8"/>
  <c r="AG19" i="3"/>
  <c r="AG24" i="5" s="1"/>
  <c r="AG3" i="5"/>
  <c r="AG17" i="3"/>
  <c r="AG25" i="3" s="1"/>
  <c r="AF27" i="3"/>
  <c r="AF8" i="5"/>
  <c r="AF25" i="5"/>
  <c r="AF20" i="3"/>
  <c r="AF6" i="5" s="1"/>
  <c r="AF12" i="5"/>
  <c r="AF13" i="5" s="1"/>
  <c r="AF5" i="5"/>
  <c r="AE28" i="3"/>
  <c r="AE29" i="3" s="1"/>
  <c r="AE32" i="3" s="1"/>
  <c r="AE38" i="3" s="1"/>
  <c r="AE4" i="4" s="1"/>
  <c r="AE6" i="4" s="1"/>
  <c r="AE20" i="5"/>
  <c r="AE21" i="5" s="1"/>
  <c r="AE16" i="5"/>
  <c r="AE17" i="5" s="1"/>
  <c r="C46" i="8" l="1"/>
  <c r="B45" i="8"/>
  <c r="AG12" i="5"/>
  <c r="AG13" i="5" s="1"/>
  <c r="AG20" i="3"/>
  <c r="AG6" i="5" s="1"/>
  <c r="AG5" i="5"/>
  <c r="AG27" i="3"/>
  <c r="AG8" i="5"/>
  <c r="AG25" i="5"/>
  <c r="AF28" i="3"/>
  <c r="AF29" i="3" s="1"/>
  <c r="AF32" i="3" s="1"/>
  <c r="AF38" i="3" s="1"/>
  <c r="AF4" i="4" s="1"/>
  <c r="AF6" i="4" s="1"/>
  <c r="AF20" i="5"/>
  <c r="AF21" i="5" s="1"/>
  <c r="AF16" i="5"/>
  <c r="AF17" i="5" s="1"/>
  <c r="C47" i="8" l="1"/>
  <c r="B46" i="8"/>
  <c r="AG20" i="5"/>
  <c r="AG21" i="5" s="1"/>
  <c r="AG16" i="5"/>
  <c r="AG17" i="5" s="1"/>
  <c r="AG28" i="3"/>
  <c r="AG29" i="3" s="1"/>
  <c r="AG32" i="3" s="1"/>
  <c r="AG38" i="3" s="1"/>
  <c r="AG4" i="4" s="1"/>
  <c r="AG6" i="4" s="1"/>
  <c r="C48" i="8" l="1"/>
  <c r="B47" i="8"/>
  <c r="B12" i="4"/>
  <c r="B11" i="4"/>
  <c r="C49" i="8" l="1"/>
  <c r="B48" i="8"/>
  <c r="A15" i="4"/>
  <c r="B21" i="6" s="1"/>
  <c r="B20" i="6"/>
  <c r="C50" i="8" l="1"/>
  <c r="B49" i="8"/>
  <c r="C51" i="8" l="1"/>
  <c r="B50" i="8"/>
  <c r="C52" i="8" l="1"/>
  <c r="B52" i="8" s="1"/>
  <c r="B51" i="8"/>
</calcChain>
</file>

<file path=xl/sharedStrings.xml><?xml version="1.0" encoding="utf-8"?>
<sst xmlns="http://schemas.openxmlformats.org/spreadsheetml/2006/main" count="300" uniqueCount="245">
  <si>
    <t>PROJECT ASSUMPTIONS — Company A Sugar Processing Plant</t>
  </si>
  <si>
    <t>All monetary values in IDR</t>
  </si>
  <si>
    <t>PROJECT TIMELINE</t>
  </si>
  <si>
    <t>Construction period (years)</t>
  </si>
  <si>
    <t>Project tenure (years)</t>
  </si>
  <si>
    <t>Total project life (years)</t>
  </si>
  <si>
    <t>INVESTMENT</t>
  </si>
  <si>
    <t>Total investment (IDR)</t>
  </si>
  <si>
    <t>Investment per construction yr</t>
  </si>
  <si>
    <t>Capex cycle (every N years)</t>
  </si>
  <si>
    <t>Maintenance capex (% of invest)</t>
  </si>
  <si>
    <t>Maintenance capex (IDR)</t>
  </si>
  <si>
    <t>DEPRECIATION</t>
  </si>
  <si>
    <t>Depreciation method</t>
  </si>
  <si>
    <t>Straight-line</t>
  </si>
  <si>
    <t>Economic life = project tenure</t>
  </si>
  <si>
    <t>Annual depreciation</t>
  </si>
  <si>
    <t>SALARY (construction period)</t>
  </si>
  <si>
    <t>Salary Yr 1 construction</t>
  </si>
  <si>
    <t>Annual inflation rate</t>
  </si>
  <si>
    <t>Salary Yr 2 construction</t>
  </si>
  <si>
    <t>REVENUE &amp; GROWTH</t>
  </si>
  <si>
    <t>Sales Yr 1 (full operation)</t>
  </si>
  <si>
    <t>Sugar price per tonne (Yr 1)</t>
  </si>
  <si>
    <t>Sales volume Yr 1 (tonnes)</t>
  </si>
  <si>
    <t>Sales growth over inflation</t>
  </si>
  <si>
    <t>Effective sales growth rate</t>
  </si>
  <si>
    <t>COST STRUCTURE</t>
  </si>
  <si>
    <t>EBITDA margin</t>
  </si>
  <si>
    <t>Fixed cost Yr 1 (full oper.)</t>
  </si>
  <si>
    <t>Fixed cost grows with inflation</t>
  </si>
  <si>
    <t>Yes</t>
  </si>
  <si>
    <t>OPPORTUNITY COST</t>
  </si>
  <si>
    <t>Forgone net cash flow/yr</t>
  </si>
  <si>
    <t>TAX</t>
  </si>
  <si>
    <t>Corporate tax rate</t>
  </si>
  <si>
    <t>Tax during construction</t>
  </si>
  <si>
    <t>Waived</t>
  </si>
  <si>
    <t>FINANCING</t>
  </si>
  <si>
    <t>Debt proportion</t>
  </si>
  <si>
    <t>Equity proportion</t>
  </si>
  <si>
    <t>Bond coupon rate</t>
  </si>
  <si>
    <t>Bond issued at par</t>
  </si>
  <si>
    <t>Debt maturity (years)</t>
  </si>
  <si>
    <t>Unlevered cost of equity (Ku)</t>
  </si>
  <si>
    <t>Sinking fund assumed</t>
  </si>
  <si>
    <t>WACC CALCULATION — Miller-Modigliani Theorem</t>
  </si>
  <si>
    <t>INPUTS (from Assumptions)</t>
  </si>
  <si>
    <t>Debt proportion (Wd)</t>
  </si>
  <si>
    <t>Equity proportion (We)</t>
  </si>
  <si>
    <t>Cost of debt (Kd) = coupon</t>
  </si>
  <si>
    <t>Tax rate</t>
  </si>
  <si>
    <t>Unlevered cost of equity Ku</t>
  </si>
  <si>
    <t>MILLER-MODIGLIANI (with tax shield)</t>
  </si>
  <si>
    <t>D/E ratio</t>
  </si>
  <si>
    <t>Levered Ke (MM Prop II):</t>
  </si>
  <si>
    <t xml:space="preserve">  Ke = Ku + (Ku-Kd)×(D/E)×(1-T)</t>
  </si>
  <si>
    <t>WACC CALCULATION</t>
  </si>
  <si>
    <t>WACC = Wd×Kd×(1-T) + We×Ke</t>
  </si>
  <si>
    <t>Required rate of return (WACC+1%)</t>
  </si>
  <si>
    <t>SUMMARY</t>
  </si>
  <si>
    <t>Unlevered Ku</t>
  </si>
  <si>
    <t>Levered Ke</t>
  </si>
  <si>
    <t>Cost of debt Kd</t>
  </si>
  <si>
    <t>After-tax Kd</t>
  </si>
  <si>
    <t>WACC</t>
  </si>
  <si>
    <t>Discount rate</t>
  </si>
  <si>
    <t>PROJECTED INCOME STATEMENT &amp; CASH FLOW (IDR)</t>
  </si>
  <si>
    <t>Construction</t>
  </si>
  <si>
    <t>Operation Period (Year 1 – 30)</t>
  </si>
  <si>
    <t>Const. Yr 1</t>
  </si>
  <si>
    <t>Const. Yr 2</t>
  </si>
  <si>
    <t>Op. Yr 1</t>
  </si>
  <si>
    <t>Op. Yr 2</t>
  </si>
  <si>
    <t>Op. Yr 3</t>
  </si>
  <si>
    <t>Op. Yr 4</t>
  </si>
  <si>
    <t>Op. Yr 5</t>
  </si>
  <si>
    <t>Op. Yr 6</t>
  </si>
  <si>
    <t>Op. Yr 7</t>
  </si>
  <si>
    <t>Op. Yr 8</t>
  </si>
  <si>
    <t>Op. Yr 9</t>
  </si>
  <si>
    <t>Op. Yr 10</t>
  </si>
  <si>
    <t>Op. Yr 11</t>
  </si>
  <si>
    <t>Op. Yr 12</t>
  </si>
  <si>
    <t>Op. Yr 13</t>
  </si>
  <si>
    <t>Op. Yr 14</t>
  </si>
  <si>
    <t>Op. Yr 15</t>
  </si>
  <si>
    <t>Op. Yr 16</t>
  </si>
  <si>
    <t>Op. Yr 17</t>
  </si>
  <si>
    <t>Op. Yr 18</t>
  </si>
  <si>
    <t>Op. Yr 19</t>
  </si>
  <si>
    <t>Op. Yr 20</t>
  </si>
  <si>
    <t>Op. Yr 21</t>
  </si>
  <si>
    <t>Op. Yr 22</t>
  </si>
  <si>
    <t>Op. Yr 23</t>
  </si>
  <si>
    <t>Op. Yr 24</t>
  </si>
  <si>
    <t>Op. Yr 25</t>
  </si>
  <si>
    <t>Op. Yr 26</t>
  </si>
  <si>
    <t>Op. Yr 27</t>
  </si>
  <si>
    <t>Op. Yr 28</t>
  </si>
  <si>
    <t>Op. Yr 29</t>
  </si>
  <si>
    <t>Op. Yr 30</t>
  </si>
  <si>
    <t>INVESTMENT SCHEDULE</t>
  </si>
  <si>
    <t>Initial / Maintenance Capex</t>
  </si>
  <si>
    <t>Salary (construction)</t>
  </si>
  <si>
    <t>Total Construction Outflow</t>
  </si>
  <si>
    <t>REVENUE</t>
  </si>
  <si>
    <t>Sugar Price per Tonne (IDR)</t>
  </si>
  <si>
    <t>Sales Volume (tonnes)</t>
  </si>
  <si>
    <t>Revenue</t>
  </si>
  <si>
    <t>EBITDA Margin</t>
  </si>
  <si>
    <t>EBITDA</t>
  </si>
  <si>
    <t>Fixed Cost</t>
  </si>
  <si>
    <t>Variable Cost</t>
  </si>
  <si>
    <t>Total Operating Cost</t>
  </si>
  <si>
    <t>INCOME STATEMENT</t>
  </si>
  <si>
    <t>Depreciation</t>
  </si>
  <si>
    <t>EBIT</t>
  </si>
  <si>
    <t>Interest Expense</t>
  </si>
  <si>
    <t>EBT (Earnings Before Tax)</t>
  </si>
  <si>
    <t>Tax (25%)</t>
  </si>
  <si>
    <t>Net Income</t>
  </si>
  <si>
    <t>FREE CASH FLOW</t>
  </si>
  <si>
    <t>Add: Depreciation</t>
  </si>
  <si>
    <t>Less: Maintenance Capex</t>
  </si>
  <si>
    <t>Less: Forgone Net Cash Flow</t>
  </si>
  <si>
    <t>Salvage Value (year 30)</t>
  </si>
  <si>
    <t>Less: Construction Outflow</t>
  </si>
  <si>
    <t>DEBT SCHEDULE</t>
  </si>
  <si>
    <t>Debt Balance (start of year)</t>
  </si>
  <si>
    <t>Sinking Fund (annual repayment)</t>
  </si>
  <si>
    <t>NPV ANALYSIS</t>
  </si>
  <si>
    <t>Const 1</t>
  </si>
  <si>
    <t>Const 2</t>
  </si>
  <si>
    <t>Op Yr 1</t>
  </si>
  <si>
    <t>Op Yr 2</t>
  </si>
  <si>
    <t>Op Yr 3</t>
  </si>
  <si>
    <t>Op Yr 4</t>
  </si>
  <si>
    <t>Op Yr 5</t>
  </si>
  <si>
    <t>Op Yr 6</t>
  </si>
  <si>
    <t>Op Yr 7</t>
  </si>
  <si>
    <t>Op Yr 8</t>
  </si>
  <si>
    <t>Op Yr 9</t>
  </si>
  <si>
    <t>Op Yr 10</t>
  </si>
  <si>
    <t>Op Yr 11</t>
  </si>
  <si>
    <t>Op Yr 12</t>
  </si>
  <si>
    <t>Op Yr 13</t>
  </si>
  <si>
    <t>Op Yr 14</t>
  </si>
  <si>
    <t>Op Yr 15</t>
  </si>
  <si>
    <t>Op Yr 16</t>
  </si>
  <si>
    <t>Op Yr 17</t>
  </si>
  <si>
    <t>Op Yr 18</t>
  </si>
  <si>
    <t>Op Yr 19</t>
  </si>
  <si>
    <t>Op Yr 20</t>
  </si>
  <si>
    <t>Op Yr 21</t>
  </si>
  <si>
    <t>Op Yr 22</t>
  </si>
  <si>
    <t>Op Yr 23</t>
  </si>
  <si>
    <t>Op Yr 24</t>
  </si>
  <si>
    <t>Op Yr 25</t>
  </si>
  <si>
    <t>Op Yr 26</t>
  </si>
  <si>
    <t>Op Yr 27</t>
  </si>
  <si>
    <t>Op Yr 28</t>
  </si>
  <si>
    <t>Op Yr 29</t>
  </si>
  <si>
    <t>Op Yr 30</t>
  </si>
  <si>
    <t>Period</t>
  </si>
  <si>
    <t>Free Cash Flow</t>
  </si>
  <si>
    <t>Discount Factor (r=WACC+1%)</t>
  </si>
  <si>
    <t>PV of FCF</t>
  </si>
  <si>
    <t>Required Rate (WACC+1%)</t>
  </si>
  <si>
    <t>Sum of PV (all periods)</t>
  </si>
  <si>
    <t>NPV</t>
  </si>
  <si>
    <t>Interpretation:</t>
  </si>
  <si>
    <t>BREAK-EVEN &amp; DEGREE OF OPERATING LEVERAGE (DOL)</t>
  </si>
  <si>
    <t>Total Cost</t>
  </si>
  <si>
    <t>Sales Volume (Q)</t>
  </si>
  <si>
    <t>Price per Tonne</t>
  </si>
  <si>
    <t>COST PER UNIT</t>
  </si>
  <si>
    <t>Variable Cost per Unit (VC/Q)</t>
  </si>
  <si>
    <t>Contribution Margin per Unit</t>
  </si>
  <si>
    <t>Acctg BE Qty (tonnes)</t>
  </si>
  <si>
    <t>Acctg BE Revenue</t>
  </si>
  <si>
    <t>Cash BE Qty (tonnes)</t>
  </si>
  <si>
    <t>Cash BE Revenue</t>
  </si>
  <si>
    <t>DEGREE OF OPERATING LEVERAGE (DOL)</t>
  </si>
  <si>
    <t>Contribution Margin (total)</t>
  </si>
  <si>
    <t>DOL = CM / EBIT</t>
  </si>
  <si>
    <t>FINANCIAL BREAK-EVEN (Q where NPV = 0 — use Goal Seek/Solver on NPV sheet)</t>
  </si>
  <si>
    <t>Financial BE is the volume in Year 1 (Op Yr 1) where NPV = 0.
Use Goal Seek: Set NPV!B12 = 0  By Changing: 'Income &amp; Cash Flow'!D13 (Revenue Yr1)
Then back-calculate: Q_fin_BE = Revenue_BE / Price_Yr1</t>
  </si>
  <si>
    <t>PROJECT PARAMETERS</t>
  </si>
  <si>
    <t>Total Investment</t>
  </si>
  <si>
    <t>Project Tenure</t>
  </si>
  <si>
    <t>Inflation Rate</t>
  </si>
  <si>
    <t>Sales Growth (real)</t>
  </si>
  <si>
    <t>Debt Proportion</t>
  </si>
  <si>
    <t>Equity Proportion</t>
  </si>
  <si>
    <t>Bond Coupon Rate</t>
  </si>
  <si>
    <t>Unlevered Cost of Equity</t>
  </si>
  <si>
    <t>Levered Cost of Equity</t>
  </si>
  <si>
    <t>PROJECT VALUATION</t>
  </si>
  <si>
    <t>Project Decision</t>
  </si>
  <si>
    <t>YEAR 1 OPERATION METRICS</t>
  </si>
  <si>
    <t>Revenue (Op Yr 1)</t>
  </si>
  <si>
    <t>EBITDA (Op Yr 1)</t>
  </si>
  <si>
    <t>Net Income (Op Yr 1)</t>
  </si>
  <si>
    <t>FCF (Op Yr 1)</t>
  </si>
  <si>
    <t>Acctg BE Qty (Op Yr 1)</t>
  </si>
  <si>
    <t>Cash BE Qty (Op Yr 1)</t>
  </si>
  <si>
    <t>DOL (Op Yr 1)</t>
  </si>
  <si>
    <t>ACCOUNTING BREAK-EVEN (Q where Net Income = 0) = (FC + D)/(p - v)</t>
  </si>
  <si>
    <t>CASH BREAK-EVEN (Q where OCF = 0, excluding non-cash dep) = FC/(p - v)</t>
  </si>
  <si>
    <t>SUMMARY — Company A Sugar Processing Plant</t>
  </si>
  <si>
    <t>rf</t>
  </si>
  <si>
    <t>beta</t>
  </si>
  <si>
    <t>rp</t>
  </si>
  <si>
    <t>slope</t>
  </si>
  <si>
    <t>-- reward to risk ratio</t>
  </si>
  <si>
    <t>rate</t>
  </si>
  <si>
    <t>proceed per share</t>
  </si>
  <si>
    <t>number of share</t>
  </si>
  <si>
    <t>proceed</t>
  </si>
  <si>
    <t>net proceed = proceed - out of pocket cost</t>
  </si>
  <si>
    <t>out of pocket cost</t>
  </si>
  <si>
    <t>- direct cost</t>
  </si>
  <si>
    <t>- indirect cost</t>
  </si>
  <si>
    <t>total out of pocket cost</t>
  </si>
  <si>
    <t>net proceed</t>
  </si>
  <si>
    <t>direct cost:</t>
  </si>
  <si>
    <t>- out of pocket direct cost</t>
  </si>
  <si>
    <t>- spread:</t>
  </si>
  <si>
    <t xml:space="preserve">      proceed per share received by underwriter</t>
  </si>
  <si>
    <t xml:space="preserve">      proceed per share received by issuer</t>
  </si>
  <si>
    <t xml:space="preserve">      spread per share</t>
  </si>
  <si>
    <t xml:space="preserve">      number of share</t>
  </si>
  <si>
    <t xml:space="preserve">      spread =  spread per share x number of share</t>
  </si>
  <si>
    <t>total direct cost</t>
  </si>
  <si>
    <t>indirect cost:</t>
  </si>
  <si>
    <t>- out of pocket indirect cost</t>
  </si>
  <si>
    <t>- IPO underpricing</t>
  </si>
  <si>
    <t xml:space="preserve">      traded price</t>
  </si>
  <si>
    <t xml:space="preserve">      underprice per share</t>
  </si>
  <si>
    <t xml:space="preserve">      underpricing =  underprice per share x number of share</t>
  </si>
  <si>
    <t>total indirect cost</t>
  </si>
  <si>
    <t>flotation cost = total direct cost + total indirect cost</t>
  </si>
  <si>
    <t>floation cost</t>
  </si>
  <si>
    <t>floation cost as % of fund raised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</si>
</sst>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#,##0;\(#,##0\);\-"/>
    <numFmt numFmtId="165" formatCode="0.00%;\(0.00%\);\-"/>
    <numFmt numFmtId="166" formatCode="0.0%;\(0.0%\);\-"/>
    <numFmt numFmtId="167" formatCode="0.00\x"/>
    <numFmt numFmtId="168" formatCode="#,##0.0;\(#,##0.0\);\-"/>
    <numFmt numFmtId="169" formatCode="0.0000"/>
    <numFmt numFmtId="170" formatCode="_-* #,##0.00_-;\-* #,##0.00_-;_-* &quot;-&quot;_-;_-@_-"/>
  </numFmts>
  <fonts count="1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2"/>
      <color rgb="FFFFFFFF"/>
      <name val="Arial"/>
      <family val="2"/>
    </font>
    <font>
      <sz val="10"/>
      <color rgb="FF008000"/>
      <name val="Arial"/>
      <family val="2"/>
    </font>
    <font>
      <b/>
      <sz val="11"/>
      <name val="Arial"/>
      <family val="2"/>
    </font>
    <font>
      <i/>
      <sz val="9"/>
      <color rgb="FF0070C0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6" fillId="0" borderId="3" xfId="0" applyNumberFormat="1" applyFont="1" applyBorder="1" applyAlignment="1">
      <alignment horizontal="right" vertical="center"/>
    </xf>
    <xf numFmtId="1" fontId="5" fillId="0" borderId="3" xfId="0" applyNumberFormat="1" applyFont="1" applyBorder="1" applyAlignment="1">
      <alignment horizontal="right" vertical="center"/>
    </xf>
    <xf numFmtId="164" fontId="6" fillId="0" borderId="3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166" fontId="5" fillId="0" borderId="3" xfId="0" applyNumberFormat="1" applyFont="1" applyBorder="1" applyAlignment="1">
      <alignment horizontal="right" vertical="center"/>
    </xf>
    <xf numFmtId="167" fontId="5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4" fillId="4" borderId="3" xfId="0" applyNumberFormat="1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168" fontId="5" fillId="0" borderId="3" xfId="0" applyNumberFormat="1" applyFont="1" applyBorder="1" applyAlignment="1">
      <alignment horizontal="right" vertical="center"/>
    </xf>
    <xf numFmtId="164" fontId="4" fillId="7" borderId="3" xfId="0" applyNumberFormat="1" applyFont="1" applyFill="1" applyBorder="1" applyAlignment="1">
      <alignment horizontal="right" vertical="center"/>
    </xf>
    <xf numFmtId="164" fontId="4" fillId="8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169" fontId="5" fillId="0" borderId="3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164" fontId="9" fillId="4" borderId="3" xfId="0" applyNumberFormat="1" applyFont="1" applyFill="1" applyBorder="1" applyAlignment="1">
      <alignment horizontal="right" vertical="center"/>
    </xf>
    <xf numFmtId="168" fontId="8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8" fontId="4" fillId="0" borderId="3" xfId="0" applyNumberFormat="1" applyFont="1" applyBorder="1" applyAlignment="1">
      <alignment horizontal="right" vertical="center"/>
    </xf>
    <xf numFmtId="168" fontId="4" fillId="3" borderId="3" xfId="0" applyNumberFormat="1" applyFont="1" applyFill="1" applyBorder="1" applyAlignment="1">
      <alignment horizontal="right" vertical="center"/>
    </xf>
    <xf numFmtId="168" fontId="4" fillId="8" borderId="3" xfId="0" applyNumberFormat="1" applyFont="1" applyFill="1" applyBorder="1" applyAlignment="1">
      <alignment horizontal="right" vertical="center"/>
    </xf>
    <xf numFmtId="167" fontId="4" fillId="0" borderId="3" xfId="0" applyNumberFormat="1" applyFont="1" applyBorder="1" applyAlignment="1">
      <alignment horizontal="right" vertical="center"/>
    </xf>
    <xf numFmtId="167" fontId="4" fillId="7" borderId="3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11" fillId="0" borderId="0" xfId="1" applyFont="1"/>
    <xf numFmtId="0" fontId="11" fillId="0" borderId="0" xfId="1" quotePrefix="1" applyFont="1"/>
    <xf numFmtId="0" fontId="11" fillId="0" borderId="5" xfId="1" applyFont="1" applyBorder="1"/>
    <xf numFmtId="10" fontId="11" fillId="0" borderId="6" xfId="1" applyNumberFormat="1" applyFont="1" applyBorder="1"/>
    <xf numFmtId="0" fontId="11" fillId="0" borderId="7" xfId="1" applyFont="1" applyBorder="1"/>
    <xf numFmtId="0" fontId="11" fillId="0" borderId="8" xfId="1" applyFont="1" applyBorder="1"/>
    <xf numFmtId="9" fontId="11" fillId="0" borderId="8" xfId="1" applyNumberFormat="1" applyFont="1" applyBorder="1"/>
    <xf numFmtId="10" fontId="11" fillId="0" borderId="8" xfId="2" applyNumberFormat="1" applyFont="1" applyBorder="1"/>
    <xf numFmtId="0" fontId="11" fillId="0" borderId="9" xfId="1" applyFont="1" applyBorder="1"/>
    <xf numFmtId="10" fontId="11" fillId="0" borderId="10" xfId="1" applyNumberFormat="1" applyFont="1" applyBorder="1"/>
    <xf numFmtId="0" fontId="11" fillId="0" borderId="6" xfId="1" applyFont="1" applyBorder="1"/>
    <xf numFmtId="10" fontId="11" fillId="0" borderId="8" xfId="1" applyNumberFormat="1" applyFont="1" applyBorder="1"/>
    <xf numFmtId="170" fontId="11" fillId="0" borderId="7" xfId="3" applyNumberFormat="1" applyFont="1" applyBorder="1"/>
    <xf numFmtId="170" fontId="11" fillId="0" borderId="9" xfId="3" applyNumberFormat="1" applyFont="1" applyBorder="1"/>
    <xf numFmtId="0" fontId="12" fillId="0" borderId="0" xfId="1" applyFont="1"/>
    <xf numFmtId="170" fontId="12" fillId="0" borderId="0" xfId="3" applyNumberFormat="1" applyFont="1"/>
    <xf numFmtId="41" fontId="12" fillId="0" borderId="0" xfId="3" applyFont="1"/>
    <xf numFmtId="0" fontId="13" fillId="0" borderId="0" xfId="1" applyFont="1"/>
    <xf numFmtId="0" fontId="12" fillId="0" borderId="0" xfId="1" quotePrefix="1" applyFont="1"/>
    <xf numFmtId="41" fontId="12" fillId="0" borderId="0" xfId="1" applyNumberFormat="1" applyFont="1"/>
    <xf numFmtId="0" fontId="14" fillId="0" borderId="0" xfId="1" applyFont="1"/>
    <xf numFmtId="41" fontId="14" fillId="0" borderId="0" xfId="1" applyNumberFormat="1" applyFont="1"/>
    <xf numFmtId="10" fontId="14" fillId="9" borderId="0" xfId="2" applyNumberFormat="1" applyFont="1" applyFill="1"/>
  </cellXfs>
  <cellStyles count="4">
    <cellStyle name="Comma [0] 2" xfId="3" xr:uid="{7B7E8411-251F-41BD-91B6-F3800197AD4C}"/>
    <cellStyle name="Normal" xfId="0" builtinId="0"/>
    <cellStyle name="Normal 2" xfId="1" xr:uid="{D9CC5022-5B3B-4D2E-9D74-C722457CB735}"/>
    <cellStyle name="Percent 2" xfId="2" xr:uid="{1B11E049-B200-476D-9237-32174806593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SML!$C$12</c:f>
              <c:strCache>
                <c:ptCount val="1"/>
                <c:pt idx="0">
                  <c:v>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3218347706536683E-2"/>
                  <c:y val="-7.34215514727325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SML!$B$13:$B$52</c:f>
              <c:numCache>
                <c:formatCode>_-* #,##0.00_-;\-* #,##0.00_-;_-* "-"_-;_-@_-</c:formatCode>
                <c:ptCount val="40"/>
                <c:pt idx="0" formatCode="General">
                  <c:v>0</c:v>
                </c:pt>
                <c:pt idx="1">
                  <c:v>5.9782608695652231E-2</c:v>
                </c:pt>
                <c:pt idx="2">
                  <c:v>0.11956521739130446</c:v>
                </c:pt>
                <c:pt idx="3">
                  <c:v>0.17934782608695668</c:v>
                </c:pt>
                <c:pt idx="4">
                  <c:v>0.23913043478260892</c:v>
                </c:pt>
                <c:pt idx="5">
                  <c:v>0.29891304347826114</c:v>
                </c:pt>
                <c:pt idx="6">
                  <c:v>0.35869565217391336</c:v>
                </c:pt>
                <c:pt idx="7">
                  <c:v>0.41847826086956558</c:v>
                </c:pt>
                <c:pt idx="8">
                  <c:v>0.47826086956521785</c:v>
                </c:pt>
                <c:pt idx="9">
                  <c:v>0.53804347826087007</c:v>
                </c:pt>
                <c:pt idx="10">
                  <c:v>0.59782608695652228</c:v>
                </c:pt>
                <c:pt idx="11">
                  <c:v>0.6576086956521745</c:v>
                </c:pt>
                <c:pt idx="12">
                  <c:v>0.71739130434782672</c:v>
                </c:pt>
                <c:pt idx="13">
                  <c:v>0.77717391304347894</c:v>
                </c:pt>
                <c:pt idx="14">
                  <c:v>0.83695652173913115</c:v>
                </c:pt>
                <c:pt idx="15">
                  <c:v>0.89673913043478348</c:v>
                </c:pt>
                <c:pt idx="16">
                  <c:v>0.9565217391304357</c:v>
                </c:pt>
                <c:pt idx="17">
                  <c:v>1.0163043478260878</c:v>
                </c:pt>
                <c:pt idx="18">
                  <c:v>1.0760869565217401</c:v>
                </c:pt>
                <c:pt idx="19">
                  <c:v>1.1358695652173922</c:v>
                </c:pt>
                <c:pt idx="20">
                  <c:v>1.1956521739130446</c:v>
                </c:pt>
                <c:pt idx="21">
                  <c:v>1.2554347826086969</c:v>
                </c:pt>
                <c:pt idx="22">
                  <c:v>1.315217391304349</c:v>
                </c:pt>
                <c:pt idx="23">
                  <c:v>1.3750000000000013</c:v>
                </c:pt>
                <c:pt idx="24">
                  <c:v>1.4347826086956534</c:v>
                </c:pt>
                <c:pt idx="25">
                  <c:v>1.4945652173913058</c:v>
                </c:pt>
                <c:pt idx="26">
                  <c:v>1.5543478260869579</c:v>
                </c:pt>
                <c:pt idx="27">
                  <c:v>1.6141304347826102</c:v>
                </c:pt>
                <c:pt idx="28">
                  <c:v>1.6739130434782623</c:v>
                </c:pt>
                <c:pt idx="29">
                  <c:v>1.7336956521739146</c:v>
                </c:pt>
                <c:pt idx="30">
                  <c:v>1.793478260869567</c:v>
                </c:pt>
                <c:pt idx="31">
                  <c:v>1.8532608695652191</c:v>
                </c:pt>
                <c:pt idx="32">
                  <c:v>1.9130434782608714</c:v>
                </c:pt>
                <c:pt idx="33">
                  <c:v>1.9728260869565235</c:v>
                </c:pt>
                <c:pt idx="34">
                  <c:v>2.0326086956521756</c:v>
                </c:pt>
                <c:pt idx="35">
                  <c:v>2.0923913043478279</c:v>
                </c:pt>
                <c:pt idx="36">
                  <c:v>2.1521739130434803</c:v>
                </c:pt>
                <c:pt idx="37">
                  <c:v>2.2119565217391326</c:v>
                </c:pt>
                <c:pt idx="38">
                  <c:v>2.2717391304347845</c:v>
                </c:pt>
                <c:pt idx="39">
                  <c:v>2.3315217391304368</c:v>
                </c:pt>
              </c:numCache>
            </c:numRef>
          </c:xVal>
          <c:yVal>
            <c:numRef>
              <c:f>SML!$C$13:$C$52</c:f>
              <c:numCache>
                <c:formatCode>0.00%</c:formatCode>
                <c:ptCount val="40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8.0000000000000016E-2</c:v>
                </c:pt>
                <c:pt idx="4">
                  <c:v>8.500000000000002E-2</c:v>
                </c:pt>
                <c:pt idx="5">
                  <c:v>9.0000000000000024E-2</c:v>
                </c:pt>
                <c:pt idx="6">
                  <c:v>9.5000000000000029E-2</c:v>
                </c:pt>
                <c:pt idx="7">
                  <c:v>0.10000000000000003</c:v>
                </c:pt>
                <c:pt idx="8">
                  <c:v>0.10500000000000004</c:v>
                </c:pt>
                <c:pt idx="9">
                  <c:v>0.11000000000000004</c:v>
                </c:pt>
                <c:pt idx="10">
                  <c:v>0.11500000000000005</c:v>
                </c:pt>
                <c:pt idx="11">
                  <c:v>0.12000000000000005</c:v>
                </c:pt>
                <c:pt idx="12">
                  <c:v>0.12500000000000006</c:v>
                </c:pt>
                <c:pt idx="13">
                  <c:v>0.13000000000000006</c:v>
                </c:pt>
                <c:pt idx="14">
                  <c:v>0.13500000000000006</c:v>
                </c:pt>
                <c:pt idx="15">
                  <c:v>0.14000000000000007</c:v>
                </c:pt>
                <c:pt idx="16">
                  <c:v>0.14500000000000007</c:v>
                </c:pt>
                <c:pt idx="17">
                  <c:v>0.15000000000000008</c:v>
                </c:pt>
                <c:pt idx="18">
                  <c:v>0.15500000000000008</c:v>
                </c:pt>
                <c:pt idx="19">
                  <c:v>0.16000000000000009</c:v>
                </c:pt>
                <c:pt idx="20">
                  <c:v>0.16500000000000009</c:v>
                </c:pt>
                <c:pt idx="21">
                  <c:v>0.1700000000000001</c:v>
                </c:pt>
                <c:pt idx="22">
                  <c:v>0.1750000000000001</c:v>
                </c:pt>
                <c:pt idx="23">
                  <c:v>0.1800000000000001</c:v>
                </c:pt>
                <c:pt idx="24">
                  <c:v>0.18500000000000011</c:v>
                </c:pt>
                <c:pt idx="25">
                  <c:v>0.19000000000000011</c:v>
                </c:pt>
                <c:pt idx="26">
                  <c:v>0.19500000000000012</c:v>
                </c:pt>
                <c:pt idx="27">
                  <c:v>0.20000000000000012</c:v>
                </c:pt>
                <c:pt idx="28">
                  <c:v>0.20500000000000013</c:v>
                </c:pt>
                <c:pt idx="29">
                  <c:v>0.21000000000000013</c:v>
                </c:pt>
                <c:pt idx="30">
                  <c:v>0.21500000000000014</c:v>
                </c:pt>
                <c:pt idx="31">
                  <c:v>0.22000000000000014</c:v>
                </c:pt>
                <c:pt idx="32">
                  <c:v>0.22500000000000014</c:v>
                </c:pt>
                <c:pt idx="33">
                  <c:v>0.23000000000000015</c:v>
                </c:pt>
                <c:pt idx="34">
                  <c:v>0.23500000000000015</c:v>
                </c:pt>
                <c:pt idx="35">
                  <c:v>0.24000000000000016</c:v>
                </c:pt>
                <c:pt idx="36">
                  <c:v>0.24500000000000016</c:v>
                </c:pt>
                <c:pt idx="37">
                  <c:v>0.25000000000000017</c:v>
                </c:pt>
                <c:pt idx="38">
                  <c:v>0.25500000000000017</c:v>
                </c:pt>
                <c:pt idx="39">
                  <c:v>0.26000000000000018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24-4068-BDD9-984AAB180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481440"/>
        <c:axId val="1431481920"/>
      </c:scatterChart>
      <c:valAx>
        <c:axId val="143148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31481920"/>
        <c:crosses val="autoZero"/>
        <c:crossBetween val="midCat"/>
      </c:valAx>
      <c:valAx>
        <c:axId val="143148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3148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11</xdr:row>
      <xdr:rowOff>179070</xdr:rowOff>
    </xdr:from>
    <xdr:to>
      <xdr:col>8</xdr:col>
      <xdr:colOff>579120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614B1-CE34-421C-ACDC-97D2FE399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ACKUP%20D\ASISTENSI%20DI%20EKSTENSI\22_23_Genap_Manajemen%20Keuangan\Bahan%20Ajar%20Asistensi%20MK\2nd%20Half%20Quiz%20Answer%20and%20Solution.xlsx" TargetMode="External"/><Relationship Id="rId1" Type="http://schemas.openxmlformats.org/officeDocument/2006/relationships/externalLinkPath" Target="file:///E:\BACKUP%20D\ASISTENSI%20DI%20EKSTENSI\22_23_Genap_Manajemen%20Keuangan\Bahan%20Ajar%20Asistensi%20MK\2nd%20Half%20Quiz%20Answer%20and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ak even analysis and DOL"/>
      <sheetName val="NI, CF, NPV"/>
      <sheetName val="Sheet4"/>
      <sheetName val="Sheet5"/>
      <sheetName val="WACC"/>
    </sheetNames>
    <sheetDataSet>
      <sheetData sheetId="0"/>
      <sheetData sheetId="1"/>
      <sheetData sheetId="2">
        <row r="12">
          <cell r="B12" t="str">
            <v>rate</v>
          </cell>
        </row>
        <row r="13">
          <cell r="A13">
            <v>0</v>
          </cell>
          <cell r="B13">
            <v>6.5000000000000002E-2</v>
          </cell>
        </row>
        <row r="14">
          <cell r="A14">
            <v>5.9782608695652231E-2</v>
          </cell>
          <cell r="B14">
            <v>7.0000000000000007E-2</v>
          </cell>
        </row>
        <row r="15">
          <cell r="A15">
            <v>0.11956521739130446</v>
          </cell>
          <cell r="B15">
            <v>7.5000000000000011E-2</v>
          </cell>
        </row>
        <row r="16">
          <cell r="A16">
            <v>0.17934782608695668</v>
          </cell>
          <cell r="B16">
            <v>8.0000000000000016E-2</v>
          </cell>
        </row>
        <row r="17">
          <cell r="A17">
            <v>0.23913043478260892</v>
          </cell>
          <cell r="B17">
            <v>8.500000000000002E-2</v>
          </cell>
        </row>
        <row r="18">
          <cell r="A18">
            <v>0.29891304347826114</v>
          </cell>
          <cell r="B18">
            <v>9.0000000000000024E-2</v>
          </cell>
        </row>
        <row r="19">
          <cell r="A19">
            <v>0.35869565217391336</v>
          </cell>
          <cell r="B19">
            <v>9.5000000000000029E-2</v>
          </cell>
        </row>
        <row r="20">
          <cell r="A20">
            <v>0.41847826086956558</v>
          </cell>
          <cell r="B20">
            <v>0.10000000000000003</v>
          </cell>
        </row>
        <row r="21">
          <cell r="A21">
            <v>0.47826086956521785</v>
          </cell>
          <cell r="B21">
            <v>0.10500000000000004</v>
          </cell>
        </row>
        <row r="22">
          <cell r="A22">
            <v>0.53804347826087007</v>
          </cell>
          <cell r="B22">
            <v>0.11000000000000004</v>
          </cell>
        </row>
        <row r="23">
          <cell r="A23">
            <v>0.59782608695652228</v>
          </cell>
          <cell r="B23">
            <v>0.11500000000000005</v>
          </cell>
        </row>
        <row r="24">
          <cell r="A24">
            <v>0.6576086956521745</v>
          </cell>
          <cell r="B24">
            <v>0.12000000000000005</v>
          </cell>
        </row>
        <row r="25">
          <cell r="A25">
            <v>0.71739130434782672</v>
          </cell>
          <cell r="B25">
            <v>0.12500000000000006</v>
          </cell>
        </row>
        <row r="26">
          <cell r="A26">
            <v>0.77717391304347894</v>
          </cell>
          <cell r="B26">
            <v>0.13000000000000006</v>
          </cell>
        </row>
        <row r="27">
          <cell r="A27">
            <v>0.83695652173913115</v>
          </cell>
          <cell r="B27">
            <v>0.13500000000000006</v>
          </cell>
        </row>
        <row r="28">
          <cell r="A28">
            <v>0.89673913043478348</v>
          </cell>
          <cell r="B28">
            <v>0.14000000000000007</v>
          </cell>
        </row>
        <row r="29">
          <cell r="A29">
            <v>0.9565217391304357</v>
          </cell>
          <cell r="B29">
            <v>0.14500000000000007</v>
          </cell>
        </row>
        <row r="30">
          <cell r="A30">
            <v>1.0163043478260878</v>
          </cell>
          <cell r="B30">
            <v>0.15000000000000008</v>
          </cell>
        </row>
        <row r="31">
          <cell r="A31">
            <v>1.0760869565217401</v>
          </cell>
          <cell r="B31">
            <v>0.15500000000000008</v>
          </cell>
        </row>
        <row r="32">
          <cell r="A32">
            <v>1.1358695652173922</v>
          </cell>
          <cell r="B32">
            <v>0.16000000000000009</v>
          </cell>
        </row>
        <row r="33">
          <cell r="A33">
            <v>1.1956521739130446</v>
          </cell>
          <cell r="B33">
            <v>0.16500000000000009</v>
          </cell>
        </row>
        <row r="34">
          <cell r="A34">
            <v>1.2554347826086969</v>
          </cell>
          <cell r="B34">
            <v>0.1700000000000001</v>
          </cell>
        </row>
        <row r="35">
          <cell r="A35">
            <v>1.315217391304349</v>
          </cell>
          <cell r="B35">
            <v>0.1750000000000001</v>
          </cell>
        </row>
        <row r="36">
          <cell r="A36">
            <v>1.3750000000000013</v>
          </cell>
          <cell r="B36">
            <v>0.1800000000000001</v>
          </cell>
        </row>
        <row r="37">
          <cell r="A37">
            <v>1.4347826086956534</v>
          </cell>
          <cell r="B37">
            <v>0.18500000000000011</v>
          </cell>
        </row>
        <row r="38">
          <cell r="A38">
            <v>1.4945652173913058</v>
          </cell>
          <cell r="B38">
            <v>0.19000000000000011</v>
          </cell>
        </row>
        <row r="39">
          <cell r="A39">
            <v>1.5543478260869579</v>
          </cell>
          <cell r="B39">
            <v>0.19500000000000012</v>
          </cell>
        </row>
        <row r="40">
          <cell r="A40">
            <v>1.6141304347826102</v>
          </cell>
          <cell r="B40">
            <v>0.20000000000000012</v>
          </cell>
        </row>
        <row r="41">
          <cell r="A41">
            <v>1.6739130434782623</v>
          </cell>
          <cell r="B41">
            <v>0.20500000000000013</v>
          </cell>
        </row>
        <row r="42">
          <cell r="A42">
            <v>1.7336956521739146</v>
          </cell>
          <cell r="B42">
            <v>0.21000000000000013</v>
          </cell>
        </row>
        <row r="43">
          <cell r="A43">
            <v>1.793478260869567</v>
          </cell>
          <cell r="B43">
            <v>0.21500000000000014</v>
          </cell>
        </row>
        <row r="44">
          <cell r="A44">
            <v>1.8532608695652191</v>
          </cell>
          <cell r="B44">
            <v>0.22000000000000014</v>
          </cell>
        </row>
        <row r="45">
          <cell r="A45">
            <v>1.9130434782608714</v>
          </cell>
          <cell r="B45">
            <v>0.22500000000000014</v>
          </cell>
        </row>
        <row r="46">
          <cell r="A46">
            <v>1.9728260869565235</v>
          </cell>
          <cell r="B46">
            <v>0.23000000000000015</v>
          </cell>
        </row>
        <row r="47">
          <cell r="A47">
            <v>2.0326086956521756</v>
          </cell>
          <cell r="B47">
            <v>0.23500000000000015</v>
          </cell>
        </row>
        <row r="48">
          <cell r="A48">
            <v>2.0923913043478279</v>
          </cell>
          <cell r="B48">
            <v>0.24000000000000016</v>
          </cell>
        </row>
        <row r="49">
          <cell r="A49">
            <v>2.1521739130434803</v>
          </cell>
          <cell r="B49">
            <v>0.24500000000000016</v>
          </cell>
        </row>
        <row r="50">
          <cell r="A50">
            <v>2.2119565217391326</v>
          </cell>
          <cell r="B50">
            <v>0.25000000000000017</v>
          </cell>
        </row>
        <row r="51">
          <cell r="A51">
            <v>2.2717391304347845</v>
          </cell>
          <cell r="B51">
            <v>0.25500000000000017</v>
          </cell>
        </row>
        <row r="52">
          <cell r="A52">
            <v>2.3315217391304368</v>
          </cell>
          <cell r="B52">
            <v>0.26000000000000018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opLeftCell="A6" zoomScaleNormal="100" workbookViewId="0">
      <selection activeCell="B39" sqref="B39"/>
    </sheetView>
  </sheetViews>
  <sheetFormatPr defaultColWidth="8.6640625" defaultRowHeight="14.25" x14ac:dyDescent="0.45"/>
  <cols>
    <col min="1" max="1" width="38" customWidth="1"/>
    <col min="2" max="2" width="22" customWidth="1"/>
    <col min="3" max="3" width="18" customWidth="1"/>
  </cols>
  <sheetData>
    <row r="1" spans="1:3" ht="15" customHeight="1" x14ac:dyDescent="0.45">
      <c r="A1" s="32" t="s">
        <v>0</v>
      </c>
      <c r="B1" s="32"/>
      <c r="C1" s="32"/>
    </row>
    <row r="2" spans="1:3" x14ac:dyDescent="0.45">
      <c r="A2" s="1" t="s">
        <v>1</v>
      </c>
    </row>
    <row r="4" spans="1:3" x14ac:dyDescent="0.45">
      <c r="A4" s="33" t="s">
        <v>2</v>
      </c>
      <c r="B4" s="33"/>
      <c r="C4" s="33"/>
    </row>
    <row r="5" spans="1:3" x14ac:dyDescent="0.45">
      <c r="A5" s="2" t="s">
        <v>3</v>
      </c>
      <c r="B5" s="3">
        <v>2</v>
      </c>
    </row>
    <row r="6" spans="1:3" x14ac:dyDescent="0.45">
      <c r="A6" s="2" t="s">
        <v>4</v>
      </c>
      <c r="B6" s="3">
        <v>30</v>
      </c>
    </row>
    <row r="7" spans="1:3" x14ac:dyDescent="0.45">
      <c r="A7" s="2" t="s">
        <v>5</v>
      </c>
      <c r="B7" s="4">
        <f>B5+B6</f>
        <v>32</v>
      </c>
    </row>
    <row r="9" spans="1:3" x14ac:dyDescent="0.45">
      <c r="A9" s="33" t="s">
        <v>6</v>
      </c>
      <c r="B9" s="33"/>
      <c r="C9" s="33"/>
    </row>
    <row r="10" spans="1:3" x14ac:dyDescent="0.45">
      <c r="A10" s="2" t="s">
        <v>7</v>
      </c>
      <c r="B10" s="5">
        <v>1250000000000</v>
      </c>
    </row>
    <row r="11" spans="1:3" x14ac:dyDescent="0.45">
      <c r="A11" s="2" t="s">
        <v>8</v>
      </c>
      <c r="B11" s="6">
        <f>B10/B5</f>
        <v>625000000000</v>
      </c>
    </row>
    <row r="12" spans="1:3" x14ac:dyDescent="0.45">
      <c r="A12" s="2" t="s">
        <v>9</v>
      </c>
      <c r="B12" s="3">
        <v>5</v>
      </c>
    </row>
    <row r="13" spans="1:3" x14ac:dyDescent="0.45">
      <c r="A13" s="2" t="s">
        <v>10</v>
      </c>
      <c r="B13" s="7">
        <f>1%</f>
        <v>0.01</v>
      </c>
    </row>
    <row r="14" spans="1:3" x14ac:dyDescent="0.45">
      <c r="A14" s="2" t="s">
        <v>11</v>
      </c>
      <c r="B14" s="6">
        <f>B10*B13</f>
        <v>12500000000</v>
      </c>
    </row>
    <row r="16" spans="1:3" x14ac:dyDescent="0.45">
      <c r="A16" s="33" t="s">
        <v>12</v>
      </c>
      <c r="B16" s="33"/>
      <c r="C16" s="33"/>
    </row>
    <row r="17" spans="1:3" x14ac:dyDescent="0.45">
      <c r="A17" s="2" t="s">
        <v>13</v>
      </c>
      <c r="B17" s="8" t="s">
        <v>14</v>
      </c>
    </row>
    <row r="18" spans="1:3" x14ac:dyDescent="0.45">
      <c r="A18" s="2" t="s">
        <v>15</v>
      </c>
      <c r="B18" s="9" t="str">
        <f>B6&amp;" years"</f>
        <v>30 years</v>
      </c>
    </row>
    <row r="19" spans="1:3" x14ac:dyDescent="0.45">
      <c r="A19" s="2" t="s">
        <v>16</v>
      </c>
      <c r="B19" s="6">
        <f>B10/B6</f>
        <v>41666666666.666664</v>
      </c>
    </row>
    <row r="21" spans="1:3" x14ac:dyDescent="0.45">
      <c r="A21" s="33" t="s">
        <v>17</v>
      </c>
      <c r="B21" s="33"/>
      <c r="C21" s="33"/>
    </row>
    <row r="22" spans="1:3" x14ac:dyDescent="0.45">
      <c r="A22" s="2" t="s">
        <v>18</v>
      </c>
      <c r="B22" s="5">
        <v>10000000000</v>
      </c>
    </row>
    <row r="23" spans="1:3" x14ac:dyDescent="0.45">
      <c r="A23" s="2" t="s">
        <v>19</v>
      </c>
      <c r="B23" s="10">
        <v>3.5000000000000003E-2</v>
      </c>
    </row>
    <row r="24" spans="1:3" x14ac:dyDescent="0.45">
      <c r="A24" s="2" t="s">
        <v>20</v>
      </c>
      <c r="B24" s="6">
        <f>B22*(1+B23)</f>
        <v>10350000000</v>
      </c>
    </row>
    <row r="26" spans="1:3" x14ac:dyDescent="0.45">
      <c r="A26" s="33" t="s">
        <v>21</v>
      </c>
      <c r="B26" s="33"/>
      <c r="C26" s="33"/>
    </row>
    <row r="27" spans="1:3" x14ac:dyDescent="0.45">
      <c r="A27" s="2" t="s">
        <v>22</v>
      </c>
      <c r="B27" s="5">
        <v>550000000000</v>
      </c>
    </row>
    <row r="28" spans="1:3" x14ac:dyDescent="0.45">
      <c r="A28" s="2" t="s">
        <v>23</v>
      </c>
      <c r="B28" s="5">
        <v>10000000</v>
      </c>
    </row>
    <row r="29" spans="1:3" x14ac:dyDescent="0.45">
      <c r="A29" s="2" t="s">
        <v>24</v>
      </c>
      <c r="B29" s="6">
        <f>B27/B28</f>
        <v>55000</v>
      </c>
    </row>
    <row r="30" spans="1:3" x14ac:dyDescent="0.45">
      <c r="A30" s="2" t="s">
        <v>25</v>
      </c>
      <c r="B30" s="10">
        <v>7.0000000000000007E-2</v>
      </c>
    </row>
    <row r="31" spans="1:3" x14ac:dyDescent="0.45">
      <c r="A31" s="2" t="s">
        <v>26</v>
      </c>
      <c r="B31" s="7">
        <f>B23+B30</f>
        <v>0.10500000000000001</v>
      </c>
    </row>
    <row r="33" spans="1:3" x14ac:dyDescent="0.45">
      <c r="A33" s="33" t="s">
        <v>27</v>
      </c>
      <c r="B33" s="33"/>
      <c r="C33" s="33"/>
    </row>
    <row r="34" spans="1:3" x14ac:dyDescent="0.45">
      <c r="A34" s="2" t="s">
        <v>28</v>
      </c>
      <c r="B34" s="11">
        <v>0.4</v>
      </c>
    </row>
    <row r="35" spans="1:3" x14ac:dyDescent="0.45">
      <c r="A35" s="2" t="s">
        <v>29</v>
      </c>
      <c r="B35" s="5">
        <v>115000000000</v>
      </c>
    </row>
    <row r="36" spans="1:3" x14ac:dyDescent="0.45">
      <c r="A36" s="2" t="s">
        <v>30</v>
      </c>
      <c r="B36" s="8" t="s">
        <v>31</v>
      </c>
    </row>
    <row r="38" spans="1:3" x14ac:dyDescent="0.45">
      <c r="A38" s="33" t="s">
        <v>32</v>
      </c>
      <c r="B38" s="33"/>
      <c r="C38" s="33"/>
    </row>
    <row r="39" spans="1:3" x14ac:dyDescent="0.45">
      <c r="A39" s="2" t="s">
        <v>33</v>
      </c>
      <c r="B39" s="5">
        <v>50000000000</v>
      </c>
    </row>
    <row r="41" spans="1:3" x14ac:dyDescent="0.45">
      <c r="A41" s="33" t="s">
        <v>34</v>
      </c>
      <c r="B41" s="33"/>
      <c r="C41" s="33"/>
    </row>
    <row r="42" spans="1:3" x14ac:dyDescent="0.45">
      <c r="A42" s="2" t="s">
        <v>35</v>
      </c>
      <c r="B42" s="11">
        <v>0.25</v>
      </c>
    </row>
    <row r="43" spans="1:3" x14ac:dyDescent="0.45">
      <c r="A43" s="2" t="s">
        <v>36</v>
      </c>
      <c r="B43" s="8" t="s">
        <v>37</v>
      </c>
    </row>
    <row r="45" spans="1:3" x14ac:dyDescent="0.45">
      <c r="A45" s="33" t="s">
        <v>38</v>
      </c>
      <c r="B45" s="33"/>
      <c r="C45" s="33"/>
    </row>
    <row r="46" spans="1:3" x14ac:dyDescent="0.45">
      <c r="A46" s="2" t="s">
        <v>39</v>
      </c>
      <c r="B46" s="11">
        <v>0.65</v>
      </c>
    </row>
    <row r="47" spans="1:3" x14ac:dyDescent="0.45">
      <c r="A47" s="2" t="s">
        <v>40</v>
      </c>
      <c r="B47" s="12">
        <f>1-B46</f>
        <v>0.35</v>
      </c>
    </row>
    <row r="48" spans="1:3" x14ac:dyDescent="0.45">
      <c r="A48" s="2" t="s">
        <v>41</v>
      </c>
      <c r="B48" s="10">
        <v>0.115</v>
      </c>
    </row>
    <row r="49" spans="1:2" x14ac:dyDescent="0.45">
      <c r="A49" s="2" t="s">
        <v>42</v>
      </c>
      <c r="B49" s="8" t="s">
        <v>31</v>
      </c>
    </row>
    <row r="50" spans="1:2" x14ac:dyDescent="0.45">
      <c r="A50" s="2" t="s">
        <v>43</v>
      </c>
      <c r="B50" s="3">
        <v>15</v>
      </c>
    </row>
    <row r="51" spans="1:2" x14ac:dyDescent="0.45">
      <c r="A51" s="2" t="s">
        <v>44</v>
      </c>
      <c r="B51" s="10">
        <v>0.13</v>
      </c>
    </row>
    <row r="52" spans="1:2" x14ac:dyDescent="0.45">
      <c r="A52" s="2" t="s">
        <v>45</v>
      </c>
      <c r="B52" s="8" t="s">
        <v>31</v>
      </c>
    </row>
  </sheetData>
  <mergeCells count="10">
    <mergeCell ref="A1:C1"/>
    <mergeCell ref="A4:C4"/>
    <mergeCell ref="A9:C9"/>
    <mergeCell ref="A16:C16"/>
    <mergeCell ref="A21:C21"/>
    <mergeCell ref="A26:C26"/>
    <mergeCell ref="A33:C33"/>
    <mergeCell ref="A38:C38"/>
    <mergeCell ref="A41:C41"/>
    <mergeCell ref="A45:C4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zoomScaleNormal="100" workbookViewId="0">
      <selection activeCell="B17" sqref="B17"/>
    </sheetView>
  </sheetViews>
  <sheetFormatPr defaultColWidth="8.6640625" defaultRowHeight="14.25" x14ac:dyDescent="0.45"/>
  <cols>
    <col min="1" max="1" width="40" customWidth="1"/>
    <col min="2" max="3" width="22" customWidth="1"/>
  </cols>
  <sheetData>
    <row r="1" spans="1:3" ht="15" customHeight="1" x14ac:dyDescent="0.45">
      <c r="A1" s="32" t="s">
        <v>46</v>
      </c>
      <c r="B1" s="32"/>
      <c r="C1" s="32"/>
    </row>
    <row r="3" spans="1:3" x14ac:dyDescent="0.45">
      <c r="A3" s="33" t="s">
        <v>47</v>
      </c>
      <c r="B3" s="33"/>
      <c r="C3" s="33"/>
    </row>
    <row r="4" spans="1:3" x14ac:dyDescent="0.45">
      <c r="A4" s="2" t="s">
        <v>48</v>
      </c>
      <c r="B4" s="7">
        <f>Assumptions!B46</f>
        <v>0.65</v>
      </c>
    </row>
    <row r="5" spans="1:3" x14ac:dyDescent="0.45">
      <c r="A5" s="2" t="s">
        <v>49</v>
      </c>
      <c r="B5" s="7">
        <f>Assumptions!B47</f>
        <v>0.35</v>
      </c>
    </row>
    <row r="6" spans="1:3" x14ac:dyDescent="0.45">
      <c r="A6" s="2" t="s">
        <v>50</v>
      </c>
      <c r="B6" s="7">
        <f>Assumptions!B48</f>
        <v>0.115</v>
      </c>
    </row>
    <row r="7" spans="1:3" x14ac:dyDescent="0.45">
      <c r="A7" s="2" t="s">
        <v>51</v>
      </c>
      <c r="B7" s="7">
        <f>Assumptions!B42</f>
        <v>0.25</v>
      </c>
    </row>
    <row r="8" spans="1:3" x14ac:dyDescent="0.45">
      <c r="A8" s="2" t="s">
        <v>52</v>
      </c>
      <c r="B8" s="7">
        <f>Assumptions!B51</f>
        <v>0.13</v>
      </c>
    </row>
    <row r="10" spans="1:3" x14ac:dyDescent="0.45">
      <c r="A10" s="33" t="s">
        <v>53</v>
      </c>
      <c r="B10" s="33"/>
      <c r="C10" s="33"/>
    </row>
    <row r="11" spans="1:3" x14ac:dyDescent="0.45">
      <c r="A11" s="2" t="s">
        <v>54</v>
      </c>
      <c r="B11" s="13">
        <f>B4/B5</f>
        <v>1.8571428571428574</v>
      </c>
    </row>
    <row r="12" spans="1:3" x14ac:dyDescent="0.45">
      <c r="A12" s="14" t="s">
        <v>55</v>
      </c>
    </row>
    <row r="13" spans="1:3" x14ac:dyDescent="0.45">
      <c r="A13" s="2" t="s">
        <v>56</v>
      </c>
      <c r="B13" s="7">
        <f>B8+(B8-B6)*B11*(1-B7)</f>
        <v>0.15089285714285716</v>
      </c>
    </row>
    <row r="15" spans="1:3" x14ac:dyDescent="0.45">
      <c r="A15" s="33" t="s">
        <v>57</v>
      </c>
      <c r="B15" s="33"/>
      <c r="C15" s="33"/>
    </row>
    <row r="16" spans="1:3" x14ac:dyDescent="0.45">
      <c r="A16" s="2" t="s">
        <v>58</v>
      </c>
      <c r="B16" s="7">
        <f>B4*B6*(1-B7)+B5*B13</f>
        <v>0.10887500000000001</v>
      </c>
    </row>
    <row r="17" spans="1:3" x14ac:dyDescent="0.45">
      <c r="A17" s="2" t="s">
        <v>59</v>
      </c>
      <c r="B17" s="7">
        <f>B16+1%</f>
        <v>0.11887500000000001</v>
      </c>
    </row>
    <row r="19" spans="1:3" x14ac:dyDescent="0.45">
      <c r="A19" s="33" t="s">
        <v>60</v>
      </c>
      <c r="B19" s="33"/>
      <c r="C19" s="33"/>
    </row>
    <row r="20" spans="1:3" x14ac:dyDescent="0.45">
      <c r="A20" s="2" t="s">
        <v>61</v>
      </c>
      <c r="B20" s="7">
        <f>B8</f>
        <v>0.13</v>
      </c>
    </row>
    <row r="21" spans="1:3" x14ac:dyDescent="0.45">
      <c r="A21" s="2" t="s">
        <v>62</v>
      </c>
      <c r="B21" s="7">
        <f>B13</f>
        <v>0.15089285714285716</v>
      </c>
    </row>
    <row r="22" spans="1:3" x14ac:dyDescent="0.45">
      <c r="A22" s="2" t="s">
        <v>63</v>
      </c>
      <c r="B22" s="7">
        <f>B6</f>
        <v>0.115</v>
      </c>
    </row>
    <row r="23" spans="1:3" x14ac:dyDescent="0.45">
      <c r="A23" s="2" t="s">
        <v>64</v>
      </c>
      <c r="B23" s="7">
        <f>B6*(1-B7)</f>
        <v>8.6250000000000007E-2</v>
      </c>
    </row>
    <row r="24" spans="1:3" x14ac:dyDescent="0.45">
      <c r="A24" s="2" t="s">
        <v>65</v>
      </c>
      <c r="B24" s="15">
        <f>B16</f>
        <v>0.10887500000000001</v>
      </c>
    </row>
    <row r="25" spans="1:3" x14ac:dyDescent="0.45">
      <c r="A25" s="2" t="s">
        <v>66</v>
      </c>
      <c r="B25" s="15">
        <f>B17</f>
        <v>0.11887500000000001</v>
      </c>
    </row>
  </sheetData>
  <mergeCells count="5">
    <mergeCell ref="A1:C1"/>
    <mergeCell ref="A3:C3"/>
    <mergeCell ref="A10:C10"/>
    <mergeCell ref="A15:C15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9"/>
  <sheetViews>
    <sheetView zoomScaleNormal="100" workbookViewId="0">
      <pane xSplit="1" ySplit="3" topLeftCell="B11" activePane="bottomRight" state="frozen"/>
      <selection pane="topRight" activeCell="B1" sqref="B1"/>
      <selection pane="bottomLeft" activeCell="A4" sqref="A4"/>
      <selection pane="bottomRight" activeCell="D26" sqref="D26"/>
    </sheetView>
  </sheetViews>
  <sheetFormatPr defaultColWidth="8.6640625" defaultRowHeight="14.25" x14ac:dyDescent="0.45"/>
  <cols>
    <col min="1" max="1" width="27.796875" bestFit="1" customWidth="1"/>
    <col min="2" max="3" width="15.59765625" bestFit="1" customWidth="1"/>
    <col min="4" max="8" width="14.59765625" bestFit="1" customWidth="1"/>
    <col min="9" max="25" width="15.9296875" bestFit="1" customWidth="1"/>
    <col min="26" max="33" width="17" bestFit="1" customWidth="1"/>
  </cols>
  <sheetData>
    <row r="1" spans="1:33" ht="18" customHeight="1" x14ac:dyDescent="0.45">
      <c r="A1" s="34" t="s">
        <v>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33" ht="18" customHeight="1" x14ac:dyDescent="0.45">
      <c r="B2" s="35" t="s">
        <v>68</v>
      </c>
      <c r="C2" s="35"/>
      <c r="D2" s="36" t="s">
        <v>69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</row>
    <row r="3" spans="1:33" ht="18" customHeight="1" x14ac:dyDescent="0.45">
      <c r="A3" s="16"/>
      <c r="B3" s="16" t="s">
        <v>70</v>
      </c>
      <c r="C3" s="16" t="s">
        <v>71</v>
      </c>
      <c r="D3" s="16" t="s">
        <v>72</v>
      </c>
      <c r="E3" s="16" t="s">
        <v>73</v>
      </c>
      <c r="F3" s="16" t="s">
        <v>74</v>
      </c>
      <c r="G3" s="16" t="s">
        <v>75</v>
      </c>
      <c r="H3" s="16" t="s">
        <v>76</v>
      </c>
      <c r="I3" s="16" t="s">
        <v>77</v>
      </c>
      <c r="J3" s="16" t="s">
        <v>78</v>
      </c>
      <c r="K3" s="16" t="s">
        <v>79</v>
      </c>
      <c r="L3" s="16" t="s">
        <v>80</v>
      </c>
      <c r="M3" s="16" t="s">
        <v>81</v>
      </c>
      <c r="N3" s="16" t="s">
        <v>82</v>
      </c>
      <c r="O3" s="16" t="s">
        <v>83</v>
      </c>
      <c r="P3" s="16" t="s">
        <v>84</v>
      </c>
      <c r="Q3" s="16" t="s">
        <v>85</v>
      </c>
      <c r="R3" s="16" t="s">
        <v>86</v>
      </c>
      <c r="S3" s="16" t="s">
        <v>87</v>
      </c>
      <c r="T3" s="16" t="s">
        <v>88</v>
      </c>
      <c r="U3" s="16" t="s">
        <v>89</v>
      </c>
      <c r="V3" s="16" t="s">
        <v>90</v>
      </c>
      <c r="W3" s="16" t="s">
        <v>91</v>
      </c>
      <c r="X3" s="16" t="s">
        <v>92</v>
      </c>
      <c r="Y3" s="16" t="s">
        <v>93</v>
      </c>
      <c r="Z3" s="16" t="s">
        <v>94</v>
      </c>
      <c r="AA3" s="16" t="s">
        <v>95</v>
      </c>
      <c r="AB3" s="16" t="s">
        <v>96</v>
      </c>
      <c r="AC3" s="16" t="s">
        <v>97</v>
      </c>
      <c r="AD3" s="16" t="s">
        <v>98</v>
      </c>
      <c r="AE3" s="16" t="s">
        <v>99</v>
      </c>
      <c r="AF3" s="16" t="s">
        <v>100</v>
      </c>
      <c r="AG3" s="16" t="s">
        <v>101</v>
      </c>
    </row>
    <row r="4" spans="1:33" ht="18" customHeight="1" x14ac:dyDescent="0.45"/>
    <row r="5" spans="1:33" ht="18" customHeight="1" x14ac:dyDescent="0.45">
      <c r="A5" s="33" t="s">
        <v>102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33" ht="18" customHeight="1" x14ac:dyDescent="0.45">
      <c r="A6" s="17" t="s">
        <v>103</v>
      </c>
      <c r="B6" s="6">
        <f>Assumptions!B11</f>
        <v>625000000000</v>
      </c>
      <c r="C6" s="6">
        <f>Assumptions!B11</f>
        <v>625000000000</v>
      </c>
      <c r="D6" s="6"/>
      <c r="E6" s="6"/>
      <c r="F6" s="6"/>
      <c r="G6" s="6"/>
      <c r="H6" s="6">
        <f>Assumptions!B14</f>
        <v>12500000000</v>
      </c>
      <c r="I6" s="6"/>
      <c r="J6" s="6"/>
      <c r="K6" s="6"/>
      <c r="L6" s="6"/>
      <c r="M6" s="6">
        <f>Assumptions!B14</f>
        <v>12500000000</v>
      </c>
      <c r="N6" s="6"/>
      <c r="O6" s="6"/>
      <c r="P6" s="6"/>
      <c r="Q6" s="6"/>
      <c r="R6" s="6">
        <f>Assumptions!B14</f>
        <v>12500000000</v>
      </c>
      <c r="S6" s="6"/>
      <c r="T6" s="6"/>
      <c r="U6" s="6"/>
      <c r="V6" s="6"/>
      <c r="W6" s="6">
        <f>Assumptions!B14</f>
        <v>12500000000</v>
      </c>
      <c r="X6" s="6"/>
      <c r="Y6" s="6"/>
      <c r="Z6" s="6"/>
      <c r="AA6" s="6"/>
      <c r="AB6" s="6">
        <f>Assumptions!B14</f>
        <v>12500000000</v>
      </c>
      <c r="AC6" s="6"/>
      <c r="AD6" s="6"/>
      <c r="AE6" s="6"/>
      <c r="AF6" s="6"/>
      <c r="AG6" s="6"/>
    </row>
    <row r="7" spans="1:33" ht="18" customHeight="1" x14ac:dyDescent="0.45">
      <c r="A7" s="17" t="s">
        <v>104</v>
      </c>
      <c r="B7" s="6">
        <f>Assumptions!B22</f>
        <v>10000000000</v>
      </c>
      <c r="C7" s="6">
        <f>Assumptions!B24</f>
        <v>10350000000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18" customHeight="1" x14ac:dyDescent="0.45">
      <c r="A8" s="17" t="s">
        <v>105</v>
      </c>
      <c r="B8" s="6">
        <f>B6+B7</f>
        <v>635000000000</v>
      </c>
      <c r="C8" s="6">
        <f>C6+C7</f>
        <v>635350000000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ht="18" customHeight="1" x14ac:dyDescent="0.45"/>
    <row r="10" spans="1:33" ht="18" customHeight="1" x14ac:dyDescent="0.45">
      <c r="A10" s="33" t="s">
        <v>106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 spans="1:33" ht="18" customHeight="1" x14ac:dyDescent="0.45">
      <c r="A11" s="17" t="s">
        <v>107</v>
      </c>
      <c r="B11" s="6"/>
      <c r="C11" s="6"/>
      <c r="D11" s="6">
        <f>Assumptions!B28</f>
        <v>10000000</v>
      </c>
      <c r="E11" s="6">
        <f>D11*(1+Assumptions!B23)</f>
        <v>10350000</v>
      </c>
      <c r="F11" s="6">
        <f>E11*(1+Assumptions!B23)</f>
        <v>10712250</v>
      </c>
      <c r="G11" s="6">
        <f>F11*(1+Assumptions!B23)</f>
        <v>11087178.75</v>
      </c>
      <c r="H11" s="6">
        <f>G11*(1+Assumptions!B23)</f>
        <v>11475230.00625</v>
      </c>
      <c r="I11" s="6">
        <f>H11*(1+Assumptions!B23)</f>
        <v>11876863.056468749</v>
      </c>
      <c r="J11" s="6">
        <f>I11*(1+Assumptions!B23)</f>
        <v>12292553.263445154</v>
      </c>
      <c r="K11" s="6">
        <f>J11*(1+Assumptions!B23)</f>
        <v>12722792.627665734</v>
      </c>
      <c r="L11" s="6">
        <f>K11*(1+Assumptions!B23)</f>
        <v>13168090.369634034</v>
      </c>
      <c r="M11" s="6">
        <f>L11*(1+Assumptions!B23)</f>
        <v>13628973.532571224</v>
      </c>
      <c r="N11" s="6">
        <f>M11*(1+Assumptions!B23)</f>
        <v>14105987.606211217</v>
      </c>
      <c r="O11" s="6">
        <f>N11*(1+Assumptions!B23)</f>
        <v>14599697.172428608</v>
      </c>
      <c r="P11" s="6">
        <f>O11*(1+Assumptions!B23)</f>
        <v>15110686.573463608</v>
      </c>
      <c r="Q11" s="6">
        <f>P11*(1+Assumptions!B23)</f>
        <v>15639560.603534833</v>
      </c>
      <c r="R11" s="6">
        <f>Q11*(1+Assumptions!B23)</f>
        <v>16186945.224658551</v>
      </c>
      <c r="S11" s="6">
        <f>R11*(1+Assumptions!B23)</f>
        <v>16753488.307521598</v>
      </c>
      <c r="T11" s="6">
        <f>S11*(1+Assumptions!B23)</f>
        <v>17339860.398284853</v>
      </c>
      <c r="U11" s="6">
        <f>T11*(1+Assumptions!B23)</f>
        <v>17946755.51222482</v>
      </c>
      <c r="V11" s="6">
        <f>U11*(1+Assumptions!B23)</f>
        <v>18574891.955152687</v>
      </c>
      <c r="W11" s="6">
        <f>V11*(1+Assumptions!B23)</f>
        <v>19225013.173583031</v>
      </c>
      <c r="X11" s="6">
        <f>W11*(1+Assumptions!B23)</f>
        <v>19897888.634658433</v>
      </c>
      <c r="Y11" s="6">
        <f>X11*(1+Assumptions!B23)</f>
        <v>20594314.736871477</v>
      </c>
      <c r="Z11" s="6">
        <f>Y11*(1+Assumptions!B23)</f>
        <v>21315115.752661977</v>
      </c>
      <c r="AA11" s="6">
        <f>Z11*(1+Assumptions!B23)</f>
        <v>22061144.804005146</v>
      </c>
      <c r="AB11" s="6">
        <f>AA11*(1+Assumptions!B23)</f>
        <v>22833284.872145325</v>
      </c>
      <c r="AC11" s="6">
        <f>AB11*(1+Assumptions!B23)</f>
        <v>23632449.842670411</v>
      </c>
      <c r="AD11" s="6">
        <f>AC11*(1+Assumptions!B23)</f>
        <v>24459585.587163873</v>
      </c>
      <c r="AE11" s="6">
        <f>AD11*(1+Assumptions!B23)</f>
        <v>25315671.082714606</v>
      </c>
      <c r="AF11" s="6">
        <f>AE11*(1+Assumptions!B23)</f>
        <v>26201719.570609614</v>
      </c>
      <c r="AG11" s="6">
        <f>AF11*(1+Assumptions!B23)</f>
        <v>27118779.755580947</v>
      </c>
    </row>
    <row r="12" spans="1:33" ht="18" customHeight="1" x14ac:dyDescent="0.45">
      <c r="A12" s="17" t="s">
        <v>108</v>
      </c>
      <c r="B12" s="18"/>
      <c r="C12" s="18"/>
      <c r="D12" s="18">
        <f>Assumptions!B29</f>
        <v>55000</v>
      </c>
      <c r="E12" s="18">
        <f>D12*(1+Assumptions!B31)</f>
        <v>60775</v>
      </c>
      <c r="F12" s="18">
        <f>E12*(1+Assumptions!B31)</f>
        <v>67156.375</v>
      </c>
      <c r="G12" s="18">
        <f>F12*(1+Assumptions!B31)</f>
        <v>74207.794374999998</v>
      </c>
      <c r="H12" s="18">
        <f>G12*(1+Assumptions!B31)</f>
        <v>81999.612784375</v>
      </c>
      <c r="I12" s="18">
        <f>H12*(1+Assumptions!B31)</f>
        <v>90609.572126734376</v>
      </c>
      <c r="J12" s="18">
        <f>I12*(1+Assumptions!B31)</f>
        <v>100123.57720004149</v>
      </c>
      <c r="K12" s="18">
        <f>J12*(1+Assumptions!B31)</f>
        <v>110636.55280604585</v>
      </c>
      <c r="L12" s="18">
        <f>K12*(1+Assumptions!B31)</f>
        <v>122253.39085068066</v>
      </c>
      <c r="M12" s="18">
        <f>L12*(1+Assumptions!B31)</f>
        <v>135089.99689000213</v>
      </c>
      <c r="N12" s="18">
        <f>M12*(1+Assumptions!B31)</f>
        <v>149274.44656345237</v>
      </c>
      <c r="O12" s="18">
        <f>N12*(1+Assumptions!B31)</f>
        <v>164948.26345261486</v>
      </c>
      <c r="P12" s="18">
        <f>O12*(1+Assumptions!B31)</f>
        <v>182267.83111513942</v>
      </c>
      <c r="Q12" s="18">
        <f>P12*(1+Assumptions!B31)</f>
        <v>201405.95338222905</v>
      </c>
      <c r="R12" s="18">
        <f>Q12*(1+Assumptions!B31)</f>
        <v>222553.57848736309</v>
      </c>
      <c r="S12" s="18">
        <f>R12*(1+Assumptions!B31)</f>
        <v>245921.70422853623</v>
      </c>
      <c r="T12" s="18">
        <f>S12*(1+Assumptions!B31)</f>
        <v>271743.48317253252</v>
      </c>
      <c r="U12" s="18">
        <f>T12*(1+Assumptions!B31)</f>
        <v>300276.54890564841</v>
      </c>
      <c r="V12" s="18">
        <f>U12*(1+Assumptions!B31)</f>
        <v>331805.5865407415</v>
      </c>
      <c r="W12" s="18">
        <f>V12*(1+Assumptions!B31)</f>
        <v>366645.17312751937</v>
      </c>
      <c r="X12" s="18">
        <f>W12*(1+Assumptions!B31)</f>
        <v>405142.91630590888</v>
      </c>
      <c r="Y12" s="18">
        <f>X12*(1+Assumptions!B31)</f>
        <v>447682.92251802929</v>
      </c>
      <c r="Z12" s="18">
        <f>Y12*(1+Assumptions!B31)</f>
        <v>494689.62938242237</v>
      </c>
      <c r="AA12" s="18">
        <f>Z12*(1+Assumptions!B31)</f>
        <v>546632.04046757671</v>
      </c>
      <c r="AB12" s="18">
        <f>AA12*(1+Assumptions!B31)</f>
        <v>604028.40471667226</v>
      </c>
      <c r="AC12" s="18">
        <f>AB12*(1+Assumptions!B31)</f>
        <v>667451.38721192279</v>
      </c>
      <c r="AD12" s="18">
        <f>AC12*(1+Assumptions!B31)</f>
        <v>737533.78286917473</v>
      </c>
      <c r="AE12" s="18">
        <f>AD12*(1+Assumptions!B31)</f>
        <v>814974.8300704381</v>
      </c>
      <c r="AF12" s="18">
        <f>AE12*(1+Assumptions!B31)</f>
        <v>900547.18722783413</v>
      </c>
      <c r="AG12" s="18">
        <f>AF12*(1+Assumptions!B31)</f>
        <v>995104.64188675676</v>
      </c>
    </row>
    <row r="13" spans="1:33" ht="18" customHeight="1" x14ac:dyDescent="0.45">
      <c r="A13" s="17" t="s">
        <v>109</v>
      </c>
      <c r="B13" s="6"/>
      <c r="C13" s="6"/>
      <c r="D13" s="6">
        <f t="shared" ref="D13:AG13" si="0">D11*D12</f>
        <v>550000000000</v>
      </c>
      <c r="E13" s="6">
        <f t="shared" si="0"/>
        <v>629021250000</v>
      </c>
      <c r="F13" s="6">
        <f t="shared" si="0"/>
        <v>719395878093.75</v>
      </c>
      <c r="G13" s="6">
        <f t="shared" si="0"/>
        <v>822755080878.86951</v>
      </c>
      <c r="H13" s="6">
        <f t="shared" si="0"/>
        <v>940964417124.14111</v>
      </c>
      <c r="I13" s="6">
        <f t="shared" si="0"/>
        <v>1076157479754.452</v>
      </c>
      <c r="J13" s="6">
        <f t="shared" si="0"/>
        <v>1230774405658.1729</v>
      </c>
      <c r="K13" s="6">
        <f t="shared" si="0"/>
        <v>1407605918391.1108</v>
      </c>
      <c r="L13" s="6">
        <f t="shared" si="0"/>
        <v>1609843698715.9536</v>
      </c>
      <c r="M13" s="6">
        <f t="shared" si="0"/>
        <v>1841137992128.968</v>
      </c>
      <c r="N13" s="6">
        <f t="shared" si="0"/>
        <v>2105663493148.0977</v>
      </c>
      <c r="O13" s="6">
        <f t="shared" si="0"/>
        <v>2408194695526.1504</v>
      </c>
      <c r="P13" s="6">
        <f t="shared" si="0"/>
        <v>2754192068405.8696</v>
      </c>
      <c r="Q13" s="6">
        <f t="shared" si="0"/>
        <v>3149900613834.0825</v>
      </c>
      <c r="R13" s="6">
        <f t="shared" si="0"/>
        <v>3602462584526.6938</v>
      </c>
      <c r="S13" s="6">
        <f t="shared" si="0"/>
        <v>4120046396358.5664</v>
      </c>
      <c r="T13" s="6">
        <f t="shared" si="0"/>
        <v>4711994062355.3828</v>
      </c>
      <c r="U13" s="6">
        <f t="shared" si="0"/>
        <v>5388989809264.291</v>
      </c>
      <c r="V13" s="6">
        <f t="shared" si="0"/>
        <v>6163252920110.3379</v>
      </c>
      <c r="W13" s="6">
        <f t="shared" si="0"/>
        <v>7048758283407.1914</v>
      </c>
      <c r="X13" s="6">
        <f t="shared" si="0"/>
        <v>8061488629775.7168</v>
      </c>
      <c r="Y13" s="6">
        <f t="shared" si="0"/>
        <v>9219723008658.7422</v>
      </c>
      <c r="Z13" s="6">
        <f t="shared" si="0"/>
        <v>10544366711927.787</v>
      </c>
      <c r="AA13" s="6">
        <f t="shared" si="0"/>
        <v>12059328599264.01</v>
      </c>
      <c r="AB13" s="6">
        <f t="shared" si="0"/>
        <v>13791952635763.266</v>
      </c>
      <c r="AC13" s="6">
        <f t="shared" si="0"/>
        <v>15773511430706.553</v>
      </c>
      <c r="AD13" s="6">
        <f t="shared" si="0"/>
        <v>18039770685513.316</v>
      </c>
      <c r="AE13" s="6">
        <f t="shared" si="0"/>
        <v>20631634738754.441</v>
      </c>
      <c r="AF13" s="6">
        <f t="shared" si="0"/>
        <v>23595884859844.98</v>
      </c>
      <c r="AG13" s="6">
        <f t="shared" si="0"/>
        <v>26986023617083.207</v>
      </c>
    </row>
    <row r="14" spans="1:33" ht="18" customHeight="1" x14ac:dyDescent="0.45"/>
    <row r="15" spans="1:33" ht="18" customHeight="1" x14ac:dyDescent="0.45">
      <c r="A15" s="33" t="s">
        <v>27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1:33" ht="18" customHeight="1" x14ac:dyDescent="0.45">
      <c r="A16" s="17" t="s">
        <v>110</v>
      </c>
      <c r="B16" s="12"/>
      <c r="C16" s="12"/>
      <c r="D16" s="12">
        <f>Assumptions!B34</f>
        <v>0.4</v>
      </c>
      <c r="E16" s="12">
        <f>Assumptions!B34</f>
        <v>0.4</v>
      </c>
      <c r="F16" s="12">
        <f>Assumptions!B34</f>
        <v>0.4</v>
      </c>
      <c r="G16" s="12">
        <f>Assumptions!B34</f>
        <v>0.4</v>
      </c>
      <c r="H16" s="12">
        <f>Assumptions!B34</f>
        <v>0.4</v>
      </c>
      <c r="I16" s="12">
        <f>Assumptions!B34</f>
        <v>0.4</v>
      </c>
      <c r="J16" s="12">
        <f>Assumptions!B34</f>
        <v>0.4</v>
      </c>
      <c r="K16" s="12">
        <f>Assumptions!B34</f>
        <v>0.4</v>
      </c>
      <c r="L16" s="12">
        <f>Assumptions!B34</f>
        <v>0.4</v>
      </c>
      <c r="M16" s="12">
        <f>Assumptions!B34</f>
        <v>0.4</v>
      </c>
      <c r="N16" s="12">
        <f>Assumptions!B34</f>
        <v>0.4</v>
      </c>
      <c r="O16" s="12">
        <f>Assumptions!B34</f>
        <v>0.4</v>
      </c>
      <c r="P16" s="12">
        <f>Assumptions!B34</f>
        <v>0.4</v>
      </c>
      <c r="Q16" s="12">
        <f>Assumptions!B34</f>
        <v>0.4</v>
      </c>
      <c r="R16" s="12">
        <f>Assumptions!B34</f>
        <v>0.4</v>
      </c>
      <c r="S16" s="12">
        <f>Assumptions!B34</f>
        <v>0.4</v>
      </c>
      <c r="T16" s="12">
        <f>Assumptions!B34</f>
        <v>0.4</v>
      </c>
      <c r="U16" s="12">
        <f>Assumptions!B34</f>
        <v>0.4</v>
      </c>
      <c r="V16" s="12">
        <f>Assumptions!B34</f>
        <v>0.4</v>
      </c>
      <c r="W16" s="12">
        <f>Assumptions!B34</f>
        <v>0.4</v>
      </c>
      <c r="X16" s="12">
        <f>Assumptions!B34</f>
        <v>0.4</v>
      </c>
      <c r="Y16" s="12">
        <f>Assumptions!B34</f>
        <v>0.4</v>
      </c>
      <c r="Z16" s="12">
        <f>Assumptions!B34</f>
        <v>0.4</v>
      </c>
      <c r="AA16" s="12">
        <f>Assumptions!B34</f>
        <v>0.4</v>
      </c>
      <c r="AB16" s="12">
        <f>Assumptions!B34</f>
        <v>0.4</v>
      </c>
      <c r="AC16" s="12">
        <f>Assumptions!B34</f>
        <v>0.4</v>
      </c>
      <c r="AD16" s="12">
        <f>Assumptions!B34</f>
        <v>0.4</v>
      </c>
      <c r="AE16" s="12">
        <f>Assumptions!B34</f>
        <v>0.4</v>
      </c>
      <c r="AF16" s="12">
        <f>Assumptions!B34</f>
        <v>0.4</v>
      </c>
      <c r="AG16" s="12">
        <f>Assumptions!B34</f>
        <v>0.4</v>
      </c>
    </row>
    <row r="17" spans="1:33" ht="18" customHeight="1" x14ac:dyDescent="0.45">
      <c r="A17" s="17" t="s">
        <v>111</v>
      </c>
      <c r="B17" s="6"/>
      <c r="C17" s="6"/>
      <c r="D17" s="6">
        <f t="shared" ref="D17:AG17" si="1">D13*D16</f>
        <v>220000000000</v>
      </c>
      <c r="E17" s="6">
        <f t="shared" si="1"/>
        <v>251608500000</v>
      </c>
      <c r="F17" s="6">
        <f t="shared" si="1"/>
        <v>287758351237.5</v>
      </c>
      <c r="G17" s="6">
        <f t="shared" si="1"/>
        <v>329102032351.54779</v>
      </c>
      <c r="H17" s="6">
        <f t="shared" si="1"/>
        <v>376385766849.65649</v>
      </c>
      <c r="I17" s="6">
        <f t="shared" si="1"/>
        <v>430462991901.78082</v>
      </c>
      <c r="J17" s="6">
        <f t="shared" si="1"/>
        <v>492309762263.26917</v>
      </c>
      <c r="K17" s="6">
        <f t="shared" si="1"/>
        <v>563042367356.44434</v>
      </c>
      <c r="L17" s="6">
        <f t="shared" si="1"/>
        <v>643937479486.38147</v>
      </c>
      <c r="M17" s="6">
        <f t="shared" si="1"/>
        <v>736455196851.58728</v>
      </c>
      <c r="N17" s="6">
        <f t="shared" si="1"/>
        <v>842265397259.23914</v>
      </c>
      <c r="O17" s="6">
        <f t="shared" si="1"/>
        <v>963277878210.46021</v>
      </c>
      <c r="P17" s="6">
        <f t="shared" si="1"/>
        <v>1101676827362.3479</v>
      </c>
      <c r="Q17" s="6">
        <f t="shared" si="1"/>
        <v>1259960245533.6331</v>
      </c>
      <c r="R17" s="6">
        <f t="shared" si="1"/>
        <v>1440985033810.6777</v>
      </c>
      <c r="S17" s="6">
        <f t="shared" si="1"/>
        <v>1648018558543.4268</v>
      </c>
      <c r="T17" s="6">
        <f t="shared" si="1"/>
        <v>1884797624942.1533</v>
      </c>
      <c r="U17" s="6">
        <f t="shared" si="1"/>
        <v>2155595923705.7166</v>
      </c>
      <c r="V17" s="6">
        <f t="shared" si="1"/>
        <v>2465301168044.1353</v>
      </c>
      <c r="W17" s="6">
        <f t="shared" si="1"/>
        <v>2819503313362.877</v>
      </c>
      <c r="X17" s="6">
        <f t="shared" si="1"/>
        <v>3224595451910.2871</v>
      </c>
      <c r="Y17" s="6">
        <f t="shared" si="1"/>
        <v>3687889203463.4971</v>
      </c>
      <c r="Z17" s="6">
        <f t="shared" si="1"/>
        <v>4217746684771.1152</v>
      </c>
      <c r="AA17" s="6">
        <f t="shared" si="1"/>
        <v>4823731439705.6045</v>
      </c>
      <c r="AB17" s="6">
        <f t="shared" si="1"/>
        <v>5516781054305.3066</v>
      </c>
      <c r="AC17" s="6">
        <f t="shared" si="1"/>
        <v>6309404572282.6211</v>
      </c>
      <c r="AD17" s="6">
        <f t="shared" si="1"/>
        <v>7215908274205.3271</v>
      </c>
      <c r="AE17" s="6">
        <f t="shared" si="1"/>
        <v>8252653895501.7773</v>
      </c>
      <c r="AF17" s="6">
        <f t="shared" si="1"/>
        <v>9438353943937.9922</v>
      </c>
      <c r="AG17" s="6">
        <f t="shared" si="1"/>
        <v>10794409446833.283</v>
      </c>
    </row>
    <row r="18" spans="1:33" ht="18" customHeight="1" x14ac:dyDescent="0.45">
      <c r="A18" s="17" t="s">
        <v>112</v>
      </c>
      <c r="B18" s="6"/>
      <c r="C18" s="6"/>
      <c r="D18" s="6">
        <f>Assumptions!B35</f>
        <v>115000000000</v>
      </c>
      <c r="E18" s="6">
        <f>D18*(1+Assumptions!B23)</f>
        <v>119024999999.99998</v>
      </c>
      <c r="F18" s="6">
        <f>E18*(1+Assumptions!B23)</f>
        <v>123190874999.99997</v>
      </c>
      <c r="G18" s="6">
        <f>F18*(1+Assumptions!B23)</f>
        <v>127502555624.99995</v>
      </c>
      <c r="H18" s="6">
        <f>G18*(1+Assumptions!B23)</f>
        <v>131965145071.87494</v>
      </c>
      <c r="I18" s="6">
        <f>H18*(1+Assumptions!B23)</f>
        <v>136583925149.39055</v>
      </c>
      <c r="J18" s="6">
        <f>I18*(1+Assumptions!B23)</f>
        <v>141364362529.6192</v>
      </c>
      <c r="K18" s="6">
        <f>J18*(1+Assumptions!B23)</f>
        <v>146312115218.15585</v>
      </c>
      <c r="L18" s="6">
        <f>K18*(1+Assumptions!B23)</f>
        <v>151433039250.79129</v>
      </c>
      <c r="M18" s="6">
        <f>L18*(1+Assumptions!B23)</f>
        <v>156733195624.56897</v>
      </c>
      <c r="N18" s="6">
        <f>M18*(1+Assumptions!B23)</f>
        <v>162218857471.42886</v>
      </c>
      <c r="O18" s="6">
        <f>N18*(1+Assumptions!B23)</f>
        <v>167896517482.92886</v>
      </c>
      <c r="P18" s="6">
        <f>O18*(1+Assumptions!B23)</f>
        <v>173772895594.83136</v>
      </c>
      <c r="Q18" s="6">
        <f>P18*(1+Assumptions!B23)</f>
        <v>179854946940.65045</v>
      </c>
      <c r="R18" s="6">
        <f>Q18*(1+Assumptions!B23)</f>
        <v>186149870083.57321</v>
      </c>
      <c r="S18" s="6">
        <f>R18*(1+Assumptions!B23)</f>
        <v>192665115536.49826</v>
      </c>
      <c r="T18" s="6">
        <f>S18*(1+Assumptions!B23)</f>
        <v>199408394580.2757</v>
      </c>
      <c r="U18" s="6">
        <f>T18*(1+Assumptions!B23)</f>
        <v>206387688390.58533</v>
      </c>
      <c r="V18" s="6">
        <f>U18*(1+Assumptions!B23)</f>
        <v>213611257484.2558</v>
      </c>
      <c r="W18" s="6">
        <f>V18*(1+Assumptions!B23)</f>
        <v>221087651496.20474</v>
      </c>
      <c r="X18" s="6">
        <f>W18*(1+Assumptions!B23)</f>
        <v>228825719298.5719</v>
      </c>
      <c r="Y18" s="6">
        <f>X18*(1+Assumptions!B23)</f>
        <v>236834619474.02191</v>
      </c>
      <c r="Z18" s="6">
        <f>Y18*(1+Assumptions!B23)</f>
        <v>245123831155.61267</v>
      </c>
      <c r="AA18" s="6">
        <f>Z18*(1+Assumptions!B23)</f>
        <v>253703165246.05908</v>
      </c>
      <c r="AB18" s="6">
        <f>AA18*(1+Assumptions!B23)</f>
        <v>262582776029.67114</v>
      </c>
      <c r="AC18" s="6">
        <f>AB18*(1+Assumptions!B23)</f>
        <v>271773173190.70963</v>
      </c>
      <c r="AD18" s="6">
        <f>AC18*(1+Assumptions!B23)</f>
        <v>281285234252.38446</v>
      </c>
      <c r="AE18" s="6">
        <f>AD18*(1+Assumptions!B23)</f>
        <v>291130217451.2179</v>
      </c>
      <c r="AF18" s="6">
        <f>AE18*(1+Assumptions!B23)</f>
        <v>301319775062.0105</v>
      </c>
      <c r="AG18" s="6">
        <f>AF18*(1+Assumptions!B23)</f>
        <v>311865967189.18085</v>
      </c>
    </row>
    <row r="19" spans="1:33" ht="18" customHeight="1" x14ac:dyDescent="0.45">
      <c r="A19" s="17" t="s">
        <v>113</v>
      </c>
      <c r="B19" s="6"/>
      <c r="C19" s="6"/>
      <c r="D19" s="6">
        <f t="shared" ref="D19:AG19" si="2">D13*(1-D16)-D18</f>
        <v>215000000000</v>
      </c>
      <c r="E19" s="6">
        <f t="shared" si="2"/>
        <v>258387750000</v>
      </c>
      <c r="F19" s="6">
        <f t="shared" si="2"/>
        <v>308446651856.25</v>
      </c>
      <c r="G19" s="6">
        <f t="shared" si="2"/>
        <v>366150492902.32178</v>
      </c>
      <c r="H19" s="6">
        <f t="shared" si="2"/>
        <v>432613505202.60968</v>
      </c>
      <c r="I19" s="6">
        <f t="shared" si="2"/>
        <v>509110562703.28058</v>
      </c>
      <c r="J19" s="6">
        <f t="shared" si="2"/>
        <v>597100280865.28442</v>
      </c>
      <c r="K19" s="6">
        <f t="shared" si="2"/>
        <v>698251435816.51062</v>
      </c>
      <c r="L19" s="6">
        <f t="shared" si="2"/>
        <v>814473179978.78088</v>
      </c>
      <c r="M19" s="6">
        <f t="shared" si="2"/>
        <v>947949599652.81189</v>
      </c>
      <c r="N19" s="6">
        <f t="shared" si="2"/>
        <v>1101179238417.4297</v>
      </c>
      <c r="O19" s="6">
        <f t="shared" si="2"/>
        <v>1277020299832.7612</v>
      </c>
      <c r="P19" s="6">
        <f t="shared" si="2"/>
        <v>1478742345448.6904</v>
      </c>
      <c r="Q19" s="6">
        <f t="shared" si="2"/>
        <v>1710085421359.7991</v>
      </c>
      <c r="R19" s="6">
        <f t="shared" si="2"/>
        <v>1975327680632.4429</v>
      </c>
      <c r="S19" s="6">
        <f t="shared" si="2"/>
        <v>2279362722278.6416</v>
      </c>
      <c r="T19" s="6">
        <f t="shared" si="2"/>
        <v>2627788042832.9536</v>
      </c>
      <c r="U19" s="6">
        <f t="shared" si="2"/>
        <v>3027006197167.9893</v>
      </c>
      <c r="V19" s="6">
        <f t="shared" si="2"/>
        <v>3484340494581.9468</v>
      </c>
      <c r="W19" s="6">
        <f t="shared" si="2"/>
        <v>4008167318548.1099</v>
      </c>
      <c r="X19" s="6">
        <f t="shared" si="2"/>
        <v>4608067458566.8574</v>
      </c>
      <c r="Y19" s="6">
        <f t="shared" si="2"/>
        <v>5294999185721.2236</v>
      </c>
      <c r="Z19" s="6">
        <f t="shared" si="2"/>
        <v>6081496196001.0596</v>
      </c>
      <c r="AA19" s="6">
        <f t="shared" si="2"/>
        <v>6981893994312.3457</v>
      </c>
      <c r="AB19" s="6">
        <f t="shared" si="2"/>
        <v>8012588805428.2881</v>
      </c>
      <c r="AC19" s="6">
        <f t="shared" si="2"/>
        <v>9192333685233.2227</v>
      </c>
      <c r="AD19" s="6">
        <f t="shared" si="2"/>
        <v>10542577177055.605</v>
      </c>
      <c r="AE19" s="6">
        <f t="shared" si="2"/>
        <v>12087850625801.445</v>
      </c>
      <c r="AF19" s="6">
        <f t="shared" si="2"/>
        <v>13856211140844.979</v>
      </c>
      <c r="AG19" s="6">
        <f t="shared" si="2"/>
        <v>15879748203060.742</v>
      </c>
    </row>
    <row r="20" spans="1:33" ht="18" customHeight="1" x14ac:dyDescent="0.45">
      <c r="A20" s="17" t="s">
        <v>114</v>
      </c>
      <c r="B20" s="6"/>
      <c r="C20" s="6"/>
      <c r="D20" s="6">
        <f t="shared" ref="D20:AG20" si="3">D18+D19</f>
        <v>330000000000</v>
      </c>
      <c r="E20" s="6">
        <f t="shared" si="3"/>
        <v>377412750000</v>
      </c>
      <c r="F20" s="6">
        <f t="shared" si="3"/>
        <v>431637526856.25</v>
      </c>
      <c r="G20" s="6">
        <f t="shared" si="3"/>
        <v>493653048527.32172</v>
      </c>
      <c r="H20" s="6">
        <f t="shared" si="3"/>
        <v>564578650274.48462</v>
      </c>
      <c r="I20" s="6">
        <f t="shared" si="3"/>
        <v>645694487852.67114</v>
      </c>
      <c r="J20" s="6">
        <f t="shared" si="3"/>
        <v>738464643394.90356</v>
      </c>
      <c r="K20" s="6">
        <f t="shared" si="3"/>
        <v>844563551034.6665</v>
      </c>
      <c r="L20" s="6">
        <f t="shared" si="3"/>
        <v>965906219229.57214</v>
      </c>
      <c r="M20" s="6">
        <f t="shared" si="3"/>
        <v>1104682795277.3809</v>
      </c>
      <c r="N20" s="6">
        <f t="shared" si="3"/>
        <v>1263398095888.8586</v>
      </c>
      <c r="O20" s="6">
        <f t="shared" si="3"/>
        <v>1444916817315.6902</v>
      </c>
      <c r="P20" s="6">
        <f t="shared" si="3"/>
        <v>1652515241043.5217</v>
      </c>
      <c r="Q20" s="6">
        <f t="shared" si="3"/>
        <v>1889940368300.4495</v>
      </c>
      <c r="R20" s="6">
        <f t="shared" si="3"/>
        <v>2161477550716.0161</v>
      </c>
      <c r="S20" s="6">
        <f t="shared" si="3"/>
        <v>2472027837815.1396</v>
      </c>
      <c r="T20" s="6">
        <f t="shared" si="3"/>
        <v>2827196437413.2295</v>
      </c>
      <c r="U20" s="6">
        <f t="shared" si="3"/>
        <v>3233393885558.5747</v>
      </c>
      <c r="V20" s="6">
        <f t="shared" si="3"/>
        <v>3697951752066.2026</v>
      </c>
      <c r="W20" s="6">
        <f t="shared" si="3"/>
        <v>4229254970044.3145</v>
      </c>
      <c r="X20" s="6">
        <f t="shared" si="3"/>
        <v>4836893177865.4297</v>
      </c>
      <c r="Y20" s="6">
        <f t="shared" si="3"/>
        <v>5531833805195.2451</v>
      </c>
      <c r="Z20" s="6">
        <f t="shared" si="3"/>
        <v>6326620027156.6719</v>
      </c>
      <c r="AA20" s="6">
        <f t="shared" si="3"/>
        <v>7235597159558.4043</v>
      </c>
      <c r="AB20" s="6">
        <f t="shared" si="3"/>
        <v>8275171581457.959</v>
      </c>
      <c r="AC20" s="6">
        <f t="shared" si="3"/>
        <v>9464106858423.9316</v>
      </c>
      <c r="AD20" s="6">
        <f t="shared" si="3"/>
        <v>10823862411307.99</v>
      </c>
      <c r="AE20" s="6">
        <f t="shared" si="3"/>
        <v>12378980843252.664</v>
      </c>
      <c r="AF20" s="6">
        <f t="shared" si="3"/>
        <v>14157530915906.988</v>
      </c>
      <c r="AG20" s="6">
        <f t="shared" si="3"/>
        <v>16191614170249.924</v>
      </c>
    </row>
    <row r="21" spans="1:33" ht="18" customHeight="1" x14ac:dyDescent="0.45"/>
    <row r="22" spans="1:33" ht="18" customHeight="1" x14ac:dyDescent="0.45"/>
    <row r="23" spans="1:33" ht="18" customHeight="1" x14ac:dyDescent="0.45">
      <c r="A23" s="33" t="s">
        <v>115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 ht="18" customHeight="1" x14ac:dyDescent="0.45">
      <c r="A24" s="17" t="s">
        <v>116</v>
      </c>
      <c r="B24" s="6"/>
      <c r="C24" s="6"/>
      <c r="D24" s="6">
        <f>Assumptions!B19</f>
        <v>41666666666.666664</v>
      </c>
      <c r="E24" s="6">
        <f>Assumptions!B19</f>
        <v>41666666666.666664</v>
      </c>
      <c r="F24" s="6">
        <f>Assumptions!B19</f>
        <v>41666666666.666664</v>
      </c>
      <c r="G24" s="6">
        <f>Assumptions!B19</f>
        <v>41666666666.666664</v>
      </c>
      <c r="H24" s="6">
        <f>Assumptions!B19</f>
        <v>41666666666.666664</v>
      </c>
      <c r="I24" s="6">
        <f>Assumptions!B19</f>
        <v>41666666666.666664</v>
      </c>
      <c r="J24" s="6">
        <f>Assumptions!B19</f>
        <v>41666666666.666664</v>
      </c>
      <c r="K24" s="6">
        <f>Assumptions!B19</f>
        <v>41666666666.666664</v>
      </c>
      <c r="L24" s="6">
        <f>Assumptions!B19</f>
        <v>41666666666.666664</v>
      </c>
      <c r="M24" s="6">
        <f>Assumptions!B19</f>
        <v>41666666666.666664</v>
      </c>
      <c r="N24" s="6">
        <f>Assumptions!B19</f>
        <v>41666666666.666664</v>
      </c>
      <c r="O24" s="6">
        <f>Assumptions!B19</f>
        <v>41666666666.666664</v>
      </c>
      <c r="P24" s="6">
        <f>Assumptions!B19</f>
        <v>41666666666.666664</v>
      </c>
      <c r="Q24" s="6">
        <f>Assumptions!B19</f>
        <v>41666666666.666664</v>
      </c>
      <c r="R24" s="6">
        <f>Assumptions!B19</f>
        <v>41666666666.666664</v>
      </c>
      <c r="S24" s="6">
        <f>Assumptions!B19</f>
        <v>41666666666.666664</v>
      </c>
      <c r="T24" s="6">
        <f>Assumptions!B19</f>
        <v>41666666666.666664</v>
      </c>
      <c r="U24" s="6">
        <f>Assumptions!B19</f>
        <v>41666666666.666664</v>
      </c>
      <c r="V24" s="6">
        <f>Assumptions!B19</f>
        <v>41666666666.666664</v>
      </c>
      <c r="W24" s="6">
        <f>Assumptions!B19</f>
        <v>41666666666.666664</v>
      </c>
      <c r="X24" s="6">
        <f>Assumptions!B19</f>
        <v>41666666666.666664</v>
      </c>
      <c r="Y24" s="6">
        <f>Assumptions!B19</f>
        <v>41666666666.666664</v>
      </c>
      <c r="Z24" s="6">
        <f>Assumptions!B19</f>
        <v>41666666666.666664</v>
      </c>
      <c r="AA24" s="6">
        <f>Assumptions!B19</f>
        <v>41666666666.666664</v>
      </c>
      <c r="AB24" s="6">
        <f>Assumptions!B19</f>
        <v>41666666666.666664</v>
      </c>
      <c r="AC24" s="6">
        <f>Assumptions!B19</f>
        <v>41666666666.666664</v>
      </c>
      <c r="AD24" s="6">
        <f>Assumptions!B19</f>
        <v>41666666666.666664</v>
      </c>
      <c r="AE24" s="6">
        <f>Assumptions!B19</f>
        <v>41666666666.666664</v>
      </c>
      <c r="AF24" s="6">
        <f>Assumptions!B19</f>
        <v>41666666666.666664</v>
      </c>
      <c r="AG24" s="6">
        <f>Assumptions!B19</f>
        <v>41666666666.666664</v>
      </c>
    </row>
    <row r="25" spans="1:33" ht="18" customHeight="1" x14ac:dyDescent="0.45">
      <c r="A25" s="17" t="s">
        <v>117</v>
      </c>
      <c r="B25" s="6"/>
      <c r="C25" s="6"/>
      <c r="D25" s="6">
        <f t="shared" ref="D25:AG25" si="4">D17-D24</f>
        <v>178333333333.33334</v>
      </c>
      <c r="E25" s="6">
        <f t="shared" si="4"/>
        <v>209941833333.33334</v>
      </c>
      <c r="F25" s="6">
        <f t="shared" si="4"/>
        <v>246091684570.83334</v>
      </c>
      <c r="G25" s="6">
        <f t="shared" si="4"/>
        <v>287435365684.8811</v>
      </c>
      <c r="H25" s="6">
        <f t="shared" si="4"/>
        <v>334719100182.98981</v>
      </c>
      <c r="I25" s="6">
        <f t="shared" si="4"/>
        <v>388796325235.11414</v>
      </c>
      <c r="J25" s="6">
        <f t="shared" si="4"/>
        <v>450643095596.60248</v>
      </c>
      <c r="K25" s="6">
        <f t="shared" si="4"/>
        <v>521375700689.77765</v>
      </c>
      <c r="L25" s="6">
        <f t="shared" si="4"/>
        <v>602270812819.71484</v>
      </c>
      <c r="M25" s="6">
        <f t="shared" si="4"/>
        <v>694788530184.92065</v>
      </c>
      <c r="N25" s="6">
        <f t="shared" si="4"/>
        <v>800598730592.57251</v>
      </c>
      <c r="O25" s="6">
        <f t="shared" si="4"/>
        <v>921611211543.79358</v>
      </c>
      <c r="P25" s="6">
        <f t="shared" si="4"/>
        <v>1060010160695.6813</v>
      </c>
      <c r="Q25" s="6">
        <f t="shared" si="4"/>
        <v>1218293578866.9663</v>
      </c>
      <c r="R25" s="6">
        <f t="shared" si="4"/>
        <v>1399318367144.011</v>
      </c>
      <c r="S25" s="6">
        <f t="shared" si="4"/>
        <v>1606351891876.76</v>
      </c>
      <c r="T25" s="6">
        <f t="shared" si="4"/>
        <v>1843130958275.4866</v>
      </c>
      <c r="U25" s="6">
        <f t="shared" si="4"/>
        <v>2113929257039.0498</v>
      </c>
      <c r="V25" s="6">
        <f t="shared" si="4"/>
        <v>2423634501377.4688</v>
      </c>
      <c r="W25" s="6">
        <f t="shared" si="4"/>
        <v>2777836646696.2104</v>
      </c>
      <c r="X25" s="6">
        <f t="shared" si="4"/>
        <v>3182928785243.6206</v>
      </c>
      <c r="Y25" s="6">
        <f t="shared" si="4"/>
        <v>3646222536796.8306</v>
      </c>
      <c r="Z25" s="6">
        <f t="shared" si="4"/>
        <v>4176080018104.4487</v>
      </c>
      <c r="AA25" s="6">
        <f t="shared" si="4"/>
        <v>4782064773038.9375</v>
      </c>
      <c r="AB25" s="6">
        <f t="shared" si="4"/>
        <v>5475114387638.6396</v>
      </c>
      <c r="AC25" s="6">
        <f t="shared" si="4"/>
        <v>6267737905615.9541</v>
      </c>
      <c r="AD25" s="6">
        <f t="shared" si="4"/>
        <v>7174241607538.6602</v>
      </c>
      <c r="AE25" s="6">
        <f t="shared" si="4"/>
        <v>8210987228835.1104</v>
      </c>
      <c r="AF25" s="6">
        <f t="shared" si="4"/>
        <v>9396687277271.3262</v>
      </c>
      <c r="AG25" s="6">
        <f t="shared" si="4"/>
        <v>10752742780166.617</v>
      </c>
    </row>
    <row r="26" spans="1:33" ht="18" customHeight="1" x14ac:dyDescent="0.45">
      <c r="A26" s="17" t="s">
        <v>118</v>
      </c>
      <c r="B26" s="6"/>
      <c r="C26" s="6"/>
      <c r="D26" s="6">
        <f t="shared" ref="D26:AG26" si="5">D43</f>
        <v>93437500000</v>
      </c>
      <c r="E26" s="6">
        <f t="shared" si="5"/>
        <v>87208333333.333344</v>
      </c>
      <c r="F26" s="6">
        <f t="shared" si="5"/>
        <v>80979166666.666687</v>
      </c>
      <c r="G26" s="6">
        <f t="shared" si="5"/>
        <v>74750000000.000015</v>
      </c>
      <c r="H26" s="6">
        <f t="shared" si="5"/>
        <v>68520833333.333359</v>
      </c>
      <c r="I26" s="6">
        <f t="shared" si="5"/>
        <v>62291666666.666687</v>
      </c>
      <c r="J26" s="6">
        <f t="shared" si="5"/>
        <v>56062500000.000015</v>
      </c>
      <c r="K26" s="6">
        <f t="shared" si="5"/>
        <v>49833333333.333344</v>
      </c>
      <c r="L26" s="6">
        <f t="shared" si="5"/>
        <v>43604166666.666679</v>
      </c>
      <c r="M26" s="6">
        <f t="shared" si="5"/>
        <v>37375000000.000008</v>
      </c>
      <c r="N26" s="6">
        <f t="shared" si="5"/>
        <v>31145833333.333344</v>
      </c>
      <c r="O26" s="6">
        <f t="shared" si="5"/>
        <v>24916666666.666676</v>
      </c>
      <c r="P26" s="6">
        <f t="shared" si="5"/>
        <v>18687500000.000011</v>
      </c>
      <c r="Q26" s="6">
        <f t="shared" si="5"/>
        <v>12458333333.333345</v>
      </c>
      <c r="R26" s="6">
        <f t="shared" si="5"/>
        <v>6229166666.6666794</v>
      </c>
      <c r="S26" s="6">
        <f t="shared" si="5"/>
        <v>1.2283325195312501E-5</v>
      </c>
      <c r="T26" s="6">
        <f t="shared" si="5"/>
        <v>1.2283325195312501E-5</v>
      </c>
      <c r="U26" s="6">
        <f t="shared" si="5"/>
        <v>1.2283325195312501E-5</v>
      </c>
      <c r="V26" s="6">
        <f t="shared" si="5"/>
        <v>1.2283325195312501E-5</v>
      </c>
      <c r="W26" s="6">
        <f t="shared" si="5"/>
        <v>1.2283325195312501E-5</v>
      </c>
      <c r="X26" s="6">
        <f t="shared" si="5"/>
        <v>1.2283325195312501E-5</v>
      </c>
      <c r="Y26" s="6">
        <f t="shared" si="5"/>
        <v>1.2283325195312501E-5</v>
      </c>
      <c r="Z26" s="6">
        <f t="shared" si="5"/>
        <v>1.2283325195312501E-5</v>
      </c>
      <c r="AA26" s="6">
        <f t="shared" si="5"/>
        <v>1.2283325195312501E-5</v>
      </c>
      <c r="AB26" s="6">
        <f t="shared" si="5"/>
        <v>1.2283325195312501E-5</v>
      </c>
      <c r="AC26" s="6">
        <f t="shared" si="5"/>
        <v>1.2283325195312501E-5</v>
      </c>
      <c r="AD26" s="6">
        <f t="shared" si="5"/>
        <v>1.2283325195312501E-5</v>
      </c>
      <c r="AE26" s="6">
        <f t="shared" si="5"/>
        <v>1.2283325195312501E-5</v>
      </c>
      <c r="AF26" s="6">
        <f t="shared" si="5"/>
        <v>1.2283325195312501E-5</v>
      </c>
      <c r="AG26" s="6">
        <f t="shared" si="5"/>
        <v>1.2283325195312501E-5</v>
      </c>
    </row>
    <row r="27" spans="1:33" ht="18" customHeight="1" x14ac:dyDescent="0.45">
      <c r="A27" s="17" t="s">
        <v>119</v>
      </c>
      <c r="B27" s="6"/>
      <c r="C27" s="6"/>
      <c r="D27" s="6">
        <f t="shared" ref="D27:AG27" si="6">D25-D26</f>
        <v>84895833333.333344</v>
      </c>
      <c r="E27" s="6">
        <f t="shared" si="6"/>
        <v>122733500000</v>
      </c>
      <c r="F27" s="6">
        <f t="shared" si="6"/>
        <v>165112517904.16666</v>
      </c>
      <c r="G27" s="6">
        <f t="shared" si="6"/>
        <v>212685365684.8811</v>
      </c>
      <c r="H27" s="6">
        <f t="shared" si="6"/>
        <v>266198266849.65643</v>
      </c>
      <c r="I27" s="6">
        <f t="shared" si="6"/>
        <v>326504658568.44745</v>
      </c>
      <c r="J27" s="6">
        <f t="shared" si="6"/>
        <v>394580595596.60248</v>
      </c>
      <c r="K27" s="6">
        <f t="shared" si="6"/>
        <v>471542367356.44434</v>
      </c>
      <c r="L27" s="6">
        <f t="shared" si="6"/>
        <v>558666646153.04822</v>
      </c>
      <c r="M27" s="6">
        <f t="shared" si="6"/>
        <v>657413530184.92065</v>
      </c>
      <c r="N27" s="6">
        <f t="shared" si="6"/>
        <v>769452897259.23914</v>
      </c>
      <c r="O27" s="6">
        <f t="shared" si="6"/>
        <v>896694544877.12695</v>
      </c>
      <c r="P27" s="6">
        <f t="shared" si="6"/>
        <v>1041322660695.6813</v>
      </c>
      <c r="Q27" s="6">
        <f t="shared" si="6"/>
        <v>1205835245533.6331</v>
      </c>
      <c r="R27" s="6">
        <f t="shared" si="6"/>
        <v>1393089200477.3442</v>
      </c>
      <c r="S27" s="6">
        <f t="shared" si="6"/>
        <v>1606351891876.76</v>
      </c>
      <c r="T27" s="6">
        <f t="shared" si="6"/>
        <v>1843130958275.4866</v>
      </c>
      <c r="U27" s="6">
        <f t="shared" si="6"/>
        <v>2113929257039.0498</v>
      </c>
      <c r="V27" s="6">
        <f t="shared" si="6"/>
        <v>2423634501377.4688</v>
      </c>
      <c r="W27" s="6">
        <f t="shared" si="6"/>
        <v>2777836646696.2104</v>
      </c>
      <c r="X27" s="6">
        <f t="shared" si="6"/>
        <v>3182928785243.6206</v>
      </c>
      <c r="Y27" s="6">
        <f t="shared" si="6"/>
        <v>3646222536796.8306</v>
      </c>
      <c r="Z27" s="6">
        <f t="shared" si="6"/>
        <v>4176080018104.4487</v>
      </c>
      <c r="AA27" s="6">
        <f t="shared" si="6"/>
        <v>4782064773038.9375</v>
      </c>
      <c r="AB27" s="6">
        <f t="shared" si="6"/>
        <v>5475114387638.6396</v>
      </c>
      <c r="AC27" s="6">
        <f t="shared" si="6"/>
        <v>6267737905615.9541</v>
      </c>
      <c r="AD27" s="6">
        <f t="shared" si="6"/>
        <v>7174241607538.6602</v>
      </c>
      <c r="AE27" s="6">
        <f t="shared" si="6"/>
        <v>8210987228835.1104</v>
      </c>
      <c r="AF27" s="6">
        <f t="shared" si="6"/>
        <v>9396687277271.3262</v>
      </c>
      <c r="AG27" s="6">
        <f t="shared" si="6"/>
        <v>10752742780166.617</v>
      </c>
    </row>
    <row r="28" spans="1:33" ht="18" customHeight="1" x14ac:dyDescent="0.45">
      <c r="A28" s="17" t="s">
        <v>120</v>
      </c>
      <c r="B28" s="6">
        <v>0</v>
      </c>
      <c r="C28" s="6">
        <v>0</v>
      </c>
      <c r="D28" s="6">
        <f>MAX(D27,0)*Assumptions!B42</f>
        <v>21223958333.333336</v>
      </c>
      <c r="E28" s="6">
        <f>MAX(E27,0)*Assumptions!B42</f>
        <v>30683375000</v>
      </c>
      <c r="F28" s="6">
        <f>MAX(F27,0)*Assumptions!B42</f>
        <v>41278129476.041664</v>
      </c>
      <c r="G28" s="6">
        <f>MAX(G27,0)*Assumptions!B42</f>
        <v>53171341421.220276</v>
      </c>
      <c r="H28" s="6">
        <f>MAX(H27,0)*Assumptions!B42</f>
        <v>66549566712.414108</v>
      </c>
      <c r="I28" s="6">
        <f>MAX(I27,0)*Assumptions!B42</f>
        <v>81626164642.111862</v>
      </c>
      <c r="J28" s="6">
        <f>MAX(J27,0)*Assumptions!B42</f>
        <v>98645148899.15062</v>
      </c>
      <c r="K28" s="6">
        <f>MAX(K27,0)*Assumptions!B42</f>
        <v>117885591839.11108</v>
      </c>
      <c r="L28" s="6">
        <f>MAX(L27,0)*Assumptions!B42</f>
        <v>139666661538.26205</v>
      </c>
      <c r="M28" s="6">
        <f>MAX(M27,0)*Assumptions!B42</f>
        <v>164353382546.23016</v>
      </c>
      <c r="N28" s="6">
        <f>MAX(N27,0)*Assumptions!B42</f>
        <v>192363224314.80978</v>
      </c>
      <c r="O28" s="6">
        <f>MAX(O27,0)*Assumptions!B42</f>
        <v>224173636219.28174</v>
      </c>
      <c r="P28" s="6">
        <f>MAX(P27,0)*Assumptions!B42</f>
        <v>260330665173.92032</v>
      </c>
      <c r="Q28" s="6">
        <f>MAX(Q27,0)*Assumptions!B42</f>
        <v>301458811383.40826</v>
      </c>
      <c r="R28" s="6">
        <f>MAX(R27,0)*Assumptions!B42</f>
        <v>348272300119.33606</v>
      </c>
      <c r="S28" s="6">
        <f>MAX(S27,0)*Assumptions!B42</f>
        <v>401587972969.19</v>
      </c>
      <c r="T28" s="6">
        <f>MAX(T27,0)*Assumptions!B42</f>
        <v>460782739568.87164</v>
      </c>
      <c r="U28" s="6">
        <f>MAX(U27,0)*Assumptions!B42</f>
        <v>528482314259.76245</v>
      </c>
      <c r="V28" s="6">
        <f>MAX(V27,0)*Assumptions!B42</f>
        <v>605908625344.36719</v>
      </c>
      <c r="W28" s="6">
        <f>MAX(W27,0)*Assumptions!B42</f>
        <v>694459161674.05261</v>
      </c>
      <c r="X28" s="6">
        <f>MAX(X27,0)*Assumptions!B42</f>
        <v>795732196310.90515</v>
      </c>
      <c r="Y28" s="6">
        <f>MAX(Y27,0)*Assumptions!B42</f>
        <v>911555634199.20764</v>
      </c>
      <c r="Z28" s="6">
        <f>MAX(Z27,0)*Assumptions!B42</f>
        <v>1044020004526.1122</v>
      </c>
      <c r="AA28" s="6">
        <f>MAX(AA27,0)*Assumptions!B42</f>
        <v>1195516193259.7344</v>
      </c>
      <c r="AB28" s="6">
        <f>MAX(AB27,0)*Assumptions!B42</f>
        <v>1368778596909.6599</v>
      </c>
      <c r="AC28" s="6">
        <f>MAX(AC27,0)*Assumptions!B42</f>
        <v>1566934476403.9885</v>
      </c>
      <c r="AD28" s="6">
        <f>MAX(AD27,0)*Assumptions!B42</f>
        <v>1793560401884.665</v>
      </c>
      <c r="AE28" s="6">
        <f>MAX(AE27,0)*Assumptions!B42</f>
        <v>2052746807208.7776</v>
      </c>
      <c r="AF28" s="6">
        <f>MAX(AF27,0)*Assumptions!B42</f>
        <v>2349171819317.8315</v>
      </c>
      <c r="AG28" s="6">
        <f>MAX(AG27,0)*Assumptions!B42</f>
        <v>2688185695041.6543</v>
      </c>
    </row>
    <row r="29" spans="1:33" ht="18" customHeight="1" x14ac:dyDescent="0.45">
      <c r="A29" s="17" t="s">
        <v>121</v>
      </c>
      <c r="B29" s="19"/>
      <c r="C29" s="19"/>
      <c r="D29" s="19">
        <f t="shared" ref="D29:AG29" si="7">D27-D28</f>
        <v>63671875000.000008</v>
      </c>
      <c r="E29" s="19">
        <f t="shared" si="7"/>
        <v>92050125000</v>
      </c>
      <c r="F29" s="19">
        <f t="shared" si="7"/>
        <v>123834388428.125</v>
      </c>
      <c r="G29" s="19">
        <f t="shared" si="7"/>
        <v>159514024263.66083</v>
      </c>
      <c r="H29" s="19">
        <f t="shared" si="7"/>
        <v>199648700137.24231</v>
      </c>
      <c r="I29" s="19">
        <f t="shared" si="7"/>
        <v>244878493926.33557</v>
      </c>
      <c r="J29" s="19">
        <f t="shared" si="7"/>
        <v>295935446697.45184</v>
      </c>
      <c r="K29" s="19">
        <f t="shared" si="7"/>
        <v>353656775517.33325</v>
      </c>
      <c r="L29" s="19">
        <f t="shared" si="7"/>
        <v>418999984614.78613</v>
      </c>
      <c r="M29" s="19">
        <f t="shared" si="7"/>
        <v>493060147638.69049</v>
      </c>
      <c r="N29" s="19">
        <f t="shared" si="7"/>
        <v>577089672944.42932</v>
      </c>
      <c r="O29" s="19">
        <f t="shared" si="7"/>
        <v>672520908657.84521</v>
      </c>
      <c r="P29" s="19">
        <f t="shared" si="7"/>
        <v>780991995521.76099</v>
      </c>
      <c r="Q29" s="19">
        <f t="shared" si="7"/>
        <v>904376434150.22485</v>
      </c>
      <c r="R29" s="19">
        <f t="shared" si="7"/>
        <v>1044816900358.0082</v>
      </c>
      <c r="S29" s="19">
        <f t="shared" si="7"/>
        <v>1204763918907.5701</v>
      </c>
      <c r="T29" s="19">
        <f t="shared" si="7"/>
        <v>1382348218706.615</v>
      </c>
      <c r="U29" s="19">
        <f t="shared" si="7"/>
        <v>1585446942779.2874</v>
      </c>
      <c r="V29" s="19">
        <f t="shared" si="7"/>
        <v>1817725876033.1016</v>
      </c>
      <c r="W29" s="19">
        <f t="shared" si="7"/>
        <v>2083377485022.1577</v>
      </c>
      <c r="X29" s="19">
        <f t="shared" si="7"/>
        <v>2387196588932.7153</v>
      </c>
      <c r="Y29" s="19">
        <f t="shared" si="7"/>
        <v>2734666902597.623</v>
      </c>
      <c r="Z29" s="19">
        <f t="shared" si="7"/>
        <v>3132060013578.3364</v>
      </c>
      <c r="AA29" s="19">
        <f t="shared" si="7"/>
        <v>3586548579779.2031</v>
      </c>
      <c r="AB29" s="19">
        <f t="shared" si="7"/>
        <v>4106335790728.9795</v>
      </c>
      <c r="AC29" s="19">
        <f t="shared" si="7"/>
        <v>4700803429211.9658</v>
      </c>
      <c r="AD29" s="19">
        <f t="shared" si="7"/>
        <v>5380681205653.9951</v>
      </c>
      <c r="AE29" s="19">
        <f t="shared" si="7"/>
        <v>6158240421626.333</v>
      </c>
      <c r="AF29" s="19">
        <f t="shared" si="7"/>
        <v>7047515457953.4941</v>
      </c>
      <c r="AG29" s="19">
        <f t="shared" si="7"/>
        <v>8064557085124.9629</v>
      </c>
    </row>
    <row r="30" spans="1:33" ht="18" customHeight="1" x14ac:dyDescent="0.45"/>
    <row r="31" spans="1:33" ht="18" customHeight="1" x14ac:dyDescent="0.45">
      <c r="A31" s="33" t="s">
        <v>122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spans="1:33" ht="18" customHeight="1" x14ac:dyDescent="0.45">
      <c r="A32" s="17" t="s">
        <v>121</v>
      </c>
      <c r="B32" s="6"/>
      <c r="C32" s="6"/>
      <c r="D32" s="6">
        <f t="shared" ref="D32:AG32" si="8">D29</f>
        <v>63671875000.000008</v>
      </c>
      <c r="E32" s="6">
        <f t="shared" si="8"/>
        <v>92050125000</v>
      </c>
      <c r="F32" s="6">
        <f t="shared" si="8"/>
        <v>123834388428.125</v>
      </c>
      <c r="G32" s="6">
        <f t="shared" si="8"/>
        <v>159514024263.66083</v>
      </c>
      <c r="H32" s="6">
        <f t="shared" si="8"/>
        <v>199648700137.24231</v>
      </c>
      <c r="I32" s="6">
        <f t="shared" si="8"/>
        <v>244878493926.33557</v>
      </c>
      <c r="J32" s="6">
        <f t="shared" si="8"/>
        <v>295935446697.45184</v>
      </c>
      <c r="K32" s="6">
        <f t="shared" si="8"/>
        <v>353656775517.33325</v>
      </c>
      <c r="L32" s="6">
        <f t="shared" si="8"/>
        <v>418999984614.78613</v>
      </c>
      <c r="M32" s="6">
        <f t="shared" si="8"/>
        <v>493060147638.69049</v>
      </c>
      <c r="N32" s="6">
        <f t="shared" si="8"/>
        <v>577089672944.42932</v>
      </c>
      <c r="O32" s="6">
        <f t="shared" si="8"/>
        <v>672520908657.84521</v>
      </c>
      <c r="P32" s="6">
        <f t="shared" si="8"/>
        <v>780991995521.76099</v>
      </c>
      <c r="Q32" s="6">
        <f t="shared" si="8"/>
        <v>904376434150.22485</v>
      </c>
      <c r="R32" s="6">
        <f t="shared" si="8"/>
        <v>1044816900358.0082</v>
      </c>
      <c r="S32" s="6">
        <f t="shared" si="8"/>
        <v>1204763918907.5701</v>
      </c>
      <c r="T32" s="6">
        <f t="shared" si="8"/>
        <v>1382348218706.615</v>
      </c>
      <c r="U32" s="6">
        <f t="shared" si="8"/>
        <v>1585446942779.2874</v>
      </c>
      <c r="V32" s="6">
        <f t="shared" si="8"/>
        <v>1817725876033.1016</v>
      </c>
      <c r="W32" s="6">
        <f t="shared" si="8"/>
        <v>2083377485022.1577</v>
      </c>
      <c r="X32" s="6">
        <f t="shared" si="8"/>
        <v>2387196588932.7153</v>
      </c>
      <c r="Y32" s="6">
        <f t="shared" si="8"/>
        <v>2734666902597.623</v>
      </c>
      <c r="Z32" s="6">
        <f t="shared" si="8"/>
        <v>3132060013578.3364</v>
      </c>
      <c r="AA32" s="6">
        <f t="shared" si="8"/>
        <v>3586548579779.2031</v>
      </c>
      <c r="AB32" s="6">
        <f t="shared" si="8"/>
        <v>4106335790728.9795</v>
      </c>
      <c r="AC32" s="6">
        <f t="shared" si="8"/>
        <v>4700803429211.9658</v>
      </c>
      <c r="AD32" s="6">
        <f t="shared" si="8"/>
        <v>5380681205653.9951</v>
      </c>
      <c r="AE32" s="6">
        <f t="shared" si="8"/>
        <v>6158240421626.333</v>
      </c>
      <c r="AF32" s="6">
        <f t="shared" si="8"/>
        <v>7047515457953.4941</v>
      </c>
      <c r="AG32" s="6">
        <f t="shared" si="8"/>
        <v>8064557085124.9629</v>
      </c>
    </row>
    <row r="33" spans="1:33" ht="18" customHeight="1" x14ac:dyDescent="0.45">
      <c r="A33" s="17" t="s">
        <v>123</v>
      </c>
      <c r="B33" s="6"/>
      <c r="C33" s="6"/>
      <c r="D33" s="6">
        <f t="shared" ref="D33:AG33" si="9">D24</f>
        <v>41666666666.666664</v>
      </c>
      <c r="E33" s="6">
        <f t="shared" si="9"/>
        <v>41666666666.666664</v>
      </c>
      <c r="F33" s="6">
        <f t="shared" si="9"/>
        <v>41666666666.666664</v>
      </c>
      <c r="G33" s="6">
        <f t="shared" si="9"/>
        <v>41666666666.666664</v>
      </c>
      <c r="H33" s="6">
        <f t="shared" si="9"/>
        <v>41666666666.666664</v>
      </c>
      <c r="I33" s="6">
        <f t="shared" si="9"/>
        <v>41666666666.666664</v>
      </c>
      <c r="J33" s="6">
        <f t="shared" si="9"/>
        <v>41666666666.666664</v>
      </c>
      <c r="K33" s="6">
        <f t="shared" si="9"/>
        <v>41666666666.666664</v>
      </c>
      <c r="L33" s="6">
        <f t="shared" si="9"/>
        <v>41666666666.666664</v>
      </c>
      <c r="M33" s="6">
        <f t="shared" si="9"/>
        <v>41666666666.666664</v>
      </c>
      <c r="N33" s="6">
        <f t="shared" si="9"/>
        <v>41666666666.666664</v>
      </c>
      <c r="O33" s="6">
        <f t="shared" si="9"/>
        <v>41666666666.666664</v>
      </c>
      <c r="P33" s="6">
        <f t="shared" si="9"/>
        <v>41666666666.666664</v>
      </c>
      <c r="Q33" s="6">
        <f t="shared" si="9"/>
        <v>41666666666.666664</v>
      </c>
      <c r="R33" s="6">
        <f t="shared" si="9"/>
        <v>41666666666.666664</v>
      </c>
      <c r="S33" s="6">
        <f t="shared" si="9"/>
        <v>41666666666.666664</v>
      </c>
      <c r="T33" s="6">
        <f t="shared" si="9"/>
        <v>41666666666.666664</v>
      </c>
      <c r="U33" s="6">
        <f t="shared" si="9"/>
        <v>41666666666.666664</v>
      </c>
      <c r="V33" s="6">
        <f t="shared" si="9"/>
        <v>41666666666.666664</v>
      </c>
      <c r="W33" s="6">
        <f t="shared" si="9"/>
        <v>41666666666.666664</v>
      </c>
      <c r="X33" s="6">
        <f t="shared" si="9"/>
        <v>41666666666.666664</v>
      </c>
      <c r="Y33" s="6">
        <f t="shared" si="9"/>
        <v>41666666666.666664</v>
      </c>
      <c r="Z33" s="6">
        <f t="shared" si="9"/>
        <v>41666666666.666664</v>
      </c>
      <c r="AA33" s="6">
        <f t="shared" si="9"/>
        <v>41666666666.666664</v>
      </c>
      <c r="AB33" s="6">
        <f t="shared" si="9"/>
        <v>41666666666.666664</v>
      </c>
      <c r="AC33" s="6">
        <f t="shared" si="9"/>
        <v>41666666666.666664</v>
      </c>
      <c r="AD33" s="6">
        <f t="shared" si="9"/>
        <v>41666666666.666664</v>
      </c>
      <c r="AE33" s="6">
        <f t="shared" si="9"/>
        <v>41666666666.666664</v>
      </c>
      <c r="AF33" s="6">
        <f t="shared" si="9"/>
        <v>41666666666.666664</v>
      </c>
      <c r="AG33" s="6">
        <f t="shared" si="9"/>
        <v>41666666666.666664</v>
      </c>
    </row>
    <row r="34" spans="1:33" ht="18" customHeight="1" x14ac:dyDescent="0.45">
      <c r="A34" s="17" t="s">
        <v>124</v>
      </c>
      <c r="B34" s="6"/>
      <c r="C34" s="6"/>
      <c r="D34" s="6">
        <v>0</v>
      </c>
      <c r="E34" s="6">
        <v>0</v>
      </c>
      <c r="F34" s="6">
        <v>0</v>
      </c>
      <c r="G34" s="6">
        <v>0</v>
      </c>
      <c r="H34" s="6">
        <f>-Assumptions!B14</f>
        <v>-12500000000</v>
      </c>
      <c r="I34" s="6">
        <v>0</v>
      </c>
      <c r="J34" s="6">
        <v>0</v>
      </c>
      <c r="K34" s="6">
        <v>0</v>
      </c>
      <c r="L34" s="6">
        <v>0</v>
      </c>
      <c r="M34" s="6">
        <f>-Assumptions!B14</f>
        <v>-12500000000</v>
      </c>
      <c r="N34" s="6">
        <v>0</v>
      </c>
      <c r="O34" s="6">
        <v>0</v>
      </c>
      <c r="P34" s="6">
        <v>0</v>
      </c>
      <c r="Q34" s="6">
        <v>0</v>
      </c>
      <c r="R34" s="6">
        <f>-Assumptions!B14</f>
        <v>-12500000000</v>
      </c>
      <c r="S34" s="6">
        <v>0</v>
      </c>
      <c r="T34" s="6">
        <v>0</v>
      </c>
      <c r="U34" s="6">
        <v>0</v>
      </c>
      <c r="V34" s="6">
        <v>0</v>
      </c>
      <c r="W34" s="6">
        <f>-Assumptions!B14</f>
        <v>-12500000000</v>
      </c>
      <c r="X34" s="6">
        <v>0</v>
      </c>
      <c r="Y34" s="6">
        <v>0</v>
      </c>
      <c r="Z34" s="6">
        <v>0</v>
      </c>
      <c r="AA34" s="6">
        <v>0</v>
      </c>
      <c r="AB34" s="6">
        <f>-Assumptions!B14</f>
        <v>-12500000000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</row>
    <row r="35" spans="1:33" ht="18" customHeight="1" x14ac:dyDescent="0.45">
      <c r="A35" s="17" t="s">
        <v>125</v>
      </c>
      <c r="B35" s="6">
        <f>-Assumptions!B39</f>
        <v>-50000000000</v>
      </c>
      <c r="C35" s="6">
        <f>-Assumptions!B39</f>
        <v>-50000000000</v>
      </c>
      <c r="D35" s="6">
        <f>-Assumptions!B39</f>
        <v>-50000000000</v>
      </c>
      <c r="E35" s="6">
        <f>-Assumptions!B39</f>
        <v>-50000000000</v>
      </c>
      <c r="F35" s="6">
        <f>-Assumptions!B39</f>
        <v>-50000000000</v>
      </c>
      <c r="G35" s="6">
        <f>-Assumptions!B39</f>
        <v>-50000000000</v>
      </c>
      <c r="H35" s="6">
        <f>-Assumptions!B39</f>
        <v>-50000000000</v>
      </c>
      <c r="I35" s="6">
        <f>-Assumptions!B39</f>
        <v>-50000000000</v>
      </c>
      <c r="J35" s="6">
        <f>-Assumptions!B39</f>
        <v>-50000000000</v>
      </c>
      <c r="K35" s="6">
        <f>-Assumptions!B39</f>
        <v>-50000000000</v>
      </c>
      <c r="L35" s="6">
        <f>-Assumptions!B39</f>
        <v>-50000000000</v>
      </c>
      <c r="M35" s="6">
        <f>-Assumptions!B39</f>
        <v>-50000000000</v>
      </c>
      <c r="N35" s="6">
        <f>-Assumptions!B39</f>
        <v>-50000000000</v>
      </c>
      <c r="O35" s="6">
        <f>-Assumptions!B39</f>
        <v>-50000000000</v>
      </c>
      <c r="P35" s="6">
        <f>-Assumptions!B39</f>
        <v>-50000000000</v>
      </c>
      <c r="Q35" s="6">
        <f>-Assumptions!B39</f>
        <v>-50000000000</v>
      </c>
      <c r="R35" s="6">
        <f>-Assumptions!B39</f>
        <v>-50000000000</v>
      </c>
      <c r="S35" s="6">
        <f>-Assumptions!B39</f>
        <v>-50000000000</v>
      </c>
      <c r="T35" s="6">
        <f>-Assumptions!B39</f>
        <v>-50000000000</v>
      </c>
      <c r="U35" s="6">
        <f>-Assumptions!B39</f>
        <v>-50000000000</v>
      </c>
      <c r="V35" s="6">
        <f>-Assumptions!B39</f>
        <v>-50000000000</v>
      </c>
      <c r="W35" s="6">
        <f>-Assumptions!B39</f>
        <v>-50000000000</v>
      </c>
      <c r="X35" s="6">
        <f>-Assumptions!B39</f>
        <v>-50000000000</v>
      </c>
      <c r="Y35" s="6">
        <f>-Assumptions!B39</f>
        <v>-50000000000</v>
      </c>
      <c r="Z35" s="6">
        <f>-Assumptions!B39</f>
        <v>-50000000000</v>
      </c>
      <c r="AA35" s="6">
        <f>-Assumptions!B39</f>
        <v>-50000000000</v>
      </c>
      <c r="AB35" s="6">
        <f>-Assumptions!B39</f>
        <v>-50000000000</v>
      </c>
      <c r="AC35" s="6">
        <f>-Assumptions!B39</f>
        <v>-50000000000</v>
      </c>
      <c r="AD35" s="6">
        <f>-Assumptions!B39</f>
        <v>-50000000000</v>
      </c>
      <c r="AE35" s="6">
        <f>-Assumptions!B39</f>
        <v>-50000000000</v>
      </c>
      <c r="AF35" s="6">
        <f>-Assumptions!B39</f>
        <v>-50000000000</v>
      </c>
      <c r="AG35" s="6">
        <f>-Assumptions!B39</f>
        <v>-50000000000</v>
      </c>
    </row>
    <row r="36" spans="1:33" ht="18" customHeight="1" x14ac:dyDescent="0.45">
      <c r="A36" s="17" t="s">
        <v>126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>Assumptions!B10-Assumptions!B19*Assumptions!B6</f>
        <v>0</v>
      </c>
    </row>
    <row r="37" spans="1:33" ht="18" customHeight="1" x14ac:dyDescent="0.45">
      <c r="A37" s="17" t="s">
        <v>127</v>
      </c>
      <c r="B37" s="6">
        <f>-B8</f>
        <v>-635000000000</v>
      </c>
      <c r="C37" s="6">
        <f>-C8</f>
        <v>-635350000000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ht="18" customHeight="1" x14ac:dyDescent="0.45">
      <c r="A38" s="17" t="s">
        <v>122</v>
      </c>
      <c r="B38" s="20">
        <f>B37+B35</f>
        <v>-685000000000</v>
      </c>
      <c r="C38" s="20">
        <f>C37+C35</f>
        <v>-685350000000</v>
      </c>
      <c r="D38" s="20">
        <f t="shared" ref="D38:AG38" si="10">D32+D33+D34+D35+D36</f>
        <v>55338541666.666672</v>
      </c>
      <c r="E38" s="20">
        <f t="shared" si="10"/>
        <v>83716791666.666656</v>
      </c>
      <c r="F38" s="20">
        <f t="shared" si="10"/>
        <v>115501055094.79166</v>
      </c>
      <c r="G38" s="20">
        <f t="shared" si="10"/>
        <v>151180690930.32748</v>
      </c>
      <c r="H38" s="20">
        <f t="shared" si="10"/>
        <v>178815366803.90897</v>
      </c>
      <c r="I38" s="20">
        <f t="shared" si="10"/>
        <v>236545160593.00226</v>
      </c>
      <c r="J38" s="20">
        <f t="shared" si="10"/>
        <v>287602113364.11853</v>
      </c>
      <c r="K38" s="20">
        <f t="shared" si="10"/>
        <v>345323442183.99994</v>
      </c>
      <c r="L38" s="20">
        <f t="shared" si="10"/>
        <v>410666651281.45282</v>
      </c>
      <c r="M38" s="20">
        <f t="shared" si="10"/>
        <v>472226814305.35718</v>
      </c>
      <c r="N38" s="20">
        <f t="shared" si="10"/>
        <v>568756339611.09595</v>
      </c>
      <c r="O38" s="20">
        <f t="shared" si="10"/>
        <v>664187575324.51184</v>
      </c>
      <c r="P38" s="20">
        <f t="shared" si="10"/>
        <v>772658662188.42761</v>
      </c>
      <c r="Q38" s="20">
        <f t="shared" si="10"/>
        <v>896043100816.89148</v>
      </c>
      <c r="R38" s="20">
        <f t="shared" si="10"/>
        <v>1023983567024.6748</v>
      </c>
      <c r="S38" s="20">
        <f t="shared" si="10"/>
        <v>1196430585574.2368</v>
      </c>
      <c r="T38" s="20">
        <f t="shared" si="10"/>
        <v>1374014885373.2817</v>
      </c>
      <c r="U38" s="20">
        <f t="shared" si="10"/>
        <v>1577113609445.9541</v>
      </c>
      <c r="V38" s="20">
        <f t="shared" si="10"/>
        <v>1809392542699.7683</v>
      </c>
      <c r="W38" s="20">
        <f t="shared" si="10"/>
        <v>2062544151688.8245</v>
      </c>
      <c r="X38" s="20">
        <f t="shared" si="10"/>
        <v>2378863255599.3818</v>
      </c>
      <c r="Y38" s="20">
        <f t="shared" si="10"/>
        <v>2726333569264.2896</v>
      </c>
      <c r="Z38" s="20">
        <f t="shared" si="10"/>
        <v>3123726680245.0029</v>
      </c>
      <c r="AA38" s="20">
        <f t="shared" si="10"/>
        <v>3578215246445.8696</v>
      </c>
      <c r="AB38" s="20">
        <f t="shared" si="10"/>
        <v>4085502457395.646</v>
      </c>
      <c r="AC38" s="20">
        <f t="shared" si="10"/>
        <v>4692470095878.6328</v>
      </c>
      <c r="AD38" s="20">
        <f t="shared" si="10"/>
        <v>5372347872320.6621</v>
      </c>
      <c r="AE38" s="20">
        <f t="shared" si="10"/>
        <v>6149907088293</v>
      </c>
      <c r="AF38" s="20">
        <f t="shared" si="10"/>
        <v>7039182124620.1611</v>
      </c>
      <c r="AG38" s="20">
        <f t="shared" si="10"/>
        <v>8056223751791.6299</v>
      </c>
    </row>
    <row r="39" spans="1:33" ht="18" customHeight="1" x14ac:dyDescent="0.45"/>
    <row r="40" spans="1:33" ht="18" customHeight="1" x14ac:dyDescent="0.45">
      <c r="A40" s="33" t="s">
        <v>128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 spans="1:33" ht="18" customHeight="1" x14ac:dyDescent="0.45">
      <c r="A41" s="17" t="s">
        <v>129</v>
      </c>
      <c r="B41" s="6"/>
      <c r="C41" s="6"/>
      <c r="D41" s="6">
        <f>Assumptions!B10*Assumptions!B46</f>
        <v>812500000000</v>
      </c>
      <c r="E41" s="6">
        <f t="shared" ref="E41:AG41" si="11">MAX(D41-D42,0)</f>
        <v>758333333333.33337</v>
      </c>
      <c r="F41" s="6">
        <f t="shared" si="11"/>
        <v>704166666666.66675</v>
      </c>
      <c r="G41" s="6">
        <f t="shared" si="11"/>
        <v>650000000000.00012</v>
      </c>
      <c r="H41" s="6">
        <f t="shared" si="11"/>
        <v>595833333333.3335</v>
      </c>
      <c r="I41" s="6">
        <f t="shared" si="11"/>
        <v>541666666666.66681</v>
      </c>
      <c r="J41" s="6">
        <f t="shared" si="11"/>
        <v>487500000000.00012</v>
      </c>
      <c r="K41" s="6">
        <f t="shared" si="11"/>
        <v>433333333333.33344</v>
      </c>
      <c r="L41" s="6">
        <f t="shared" si="11"/>
        <v>379166666666.66675</v>
      </c>
      <c r="M41" s="6">
        <f t="shared" si="11"/>
        <v>325000000000.00006</v>
      </c>
      <c r="N41" s="6">
        <f t="shared" si="11"/>
        <v>270833333333.3334</v>
      </c>
      <c r="O41" s="6">
        <f t="shared" si="11"/>
        <v>216666666666.66675</v>
      </c>
      <c r="P41" s="6">
        <f t="shared" si="11"/>
        <v>162500000000.00009</v>
      </c>
      <c r="Q41" s="6">
        <f t="shared" si="11"/>
        <v>108333333333.33344</v>
      </c>
      <c r="R41" s="6">
        <f t="shared" si="11"/>
        <v>54166666666.666771</v>
      </c>
      <c r="S41" s="6">
        <f t="shared" si="11"/>
        <v>1.068115234375E-4</v>
      </c>
      <c r="T41" s="6">
        <f t="shared" si="11"/>
        <v>1.068115234375E-4</v>
      </c>
      <c r="U41" s="6">
        <f t="shared" si="11"/>
        <v>1.068115234375E-4</v>
      </c>
      <c r="V41" s="6">
        <f t="shared" si="11"/>
        <v>1.068115234375E-4</v>
      </c>
      <c r="W41" s="6">
        <f t="shared" si="11"/>
        <v>1.068115234375E-4</v>
      </c>
      <c r="X41" s="6">
        <f t="shared" si="11"/>
        <v>1.068115234375E-4</v>
      </c>
      <c r="Y41" s="6">
        <f t="shared" si="11"/>
        <v>1.068115234375E-4</v>
      </c>
      <c r="Z41" s="6">
        <f t="shared" si="11"/>
        <v>1.068115234375E-4</v>
      </c>
      <c r="AA41" s="6">
        <f t="shared" si="11"/>
        <v>1.068115234375E-4</v>
      </c>
      <c r="AB41" s="6">
        <f t="shared" si="11"/>
        <v>1.068115234375E-4</v>
      </c>
      <c r="AC41" s="6">
        <f t="shared" si="11"/>
        <v>1.068115234375E-4</v>
      </c>
      <c r="AD41" s="6">
        <f t="shared" si="11"/>
        <v>1.068115234375E-4</v>
      </c>
      <c r="AE41" s="6">
        <f t="shared" si="11"/>
        <v>1.068115234375E-4</v>
      </c>
      <c r="AF41" s="6">
        <f t="shared" si="11"/>
        <v>1.068115234375E-4</v>
      </c>
      <c r="AG41" s="6">
        <f t="shared" si="11"/>
        <v>1.068115234375E-4</v>
      </c>
    </row>
    <row r="42" spans="1:33" ht="18" customHeight="1" x14ac:dyDescent="0.45">
      <c r="A42" s="17" t="s">
        <v>130</v>
      </c>
      <c r="B42" s="6"/>
      <c r="C42" s="6"/>
      <c r="D42" s="6">
        <f>Assumptions!B10*Assumptions!B46/Assumptions!B50</f>
        <v>54166666666.666664</v>
      </c>
      <c r="E42" s="6">
        <f>Assumptions!B10*Assumptions!B46/Assumptions!B50</f>
        <v>54166666666.666664</v>
      </c>
      <c r="F42" s="6">
        <f>Assumptions!B10*Assumptions!B46/Assumptions!B50</f>
        <v>54166666666.666664</v>
      </c>
      <c r="G42" s="6">
        <f>Assumptions!B10*Assumptions!B46/Assumptions!B50</f>
        <v>54166666666.666664</v>
      </c>
      <c r="H42" s="6">
        <f>Assumptions!B10*Assumptions!B46/Assumptions!B50</f>
        <v>54166666666.666664</v>
      </c>
      <c r="I42" s="6">
        <f>Assumptions!B10*Assumptions!B46/Assumptions!B50</f>
        <v>54166666666.666664</v>
      </c>
      <c r="J42" s="6">
        <f>Assumptions!B10*Assumptions!B46/Assumptions!B50</f>
        <v>54166666666.666664</v>
      </c>
      <c r="K42" s="6">
        <f>Assumptions!B10*Assumptions!B46/Assumptions!B50</f>
        <v>54166666666.666664</v>
      </c>
      <c r="L42" s="6">
        <f>Assumptions!B10*Assumptions!B46/Assumptions!B50</f>
        <v>54166666666.666664</v>
      </c>
      <c r="M42" s="6">
        <f>Assumptions!B10*Assumptions!B46/Assumptions!B50</f>
        <v>54166666666.666664</v>
      </c>
      <c r="N42" s="6">
        <f>Assumptions!B10*Assumptions!B46/Assumptions!B50</f>
        <v>54166666666.666664</v>
      </c>
      <c r="O42" s="6">
        <f>Assumptions!B10*Assumptions!B46/Assumptions!B50</f>
        <v>54166666666.666664</v>
      </c>
      <c r="P42" s="6">
        <f>Assumptions!B10*Assumptions!B46/Assumptions!B50</f>
        <v>54166666666.666664</v>
      </c>
      <c r="Q42" s="6">
        <f>Assumptions!B10*Assumptions!B46/Assumptions!B50</f>
        <v>54166666666.666664</v>
      </c>
      <c r="R42" s="6">
        <f>Assumptions!B10*Assumptions!B46/Assumptions!B50</f>
        <v>54166666666.666664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</row>
    <row r="43" spans="1:33" ht="18" customHeight="1" x14ac:dyDescent="0.45">
      <c r="A43" s="17" t="s">
        <v>118</v>
      </c>
      <c r="B43" s="6"/>
      <c r="C43" s="6"/>
      <c r="D43" s="6">
        <f>D41*Assumptions!B48</f>
        <v>93437500000</v>
      </c>
      <c r="E43" s="6">
        <f>E41*Assumptions!B48</f>
        <v>87208333333.333344</v>
      </c>
      <c r="F43" s="6">
        <f>F41*Assumptions!B48</f>
        <v>80979166666.666687</v>
      </c>
      <c r="G43" s="6">
        <f>G41*Assumptions!B48</f>
        <v>74750000000.000015</v>
      </c>
      <c r="H43" s="6">
        <f>H41*Assumptions!B48</f>
        <v>68520833333.333359</v>
      </c>
      <c r="I43" s="6">
        <f>I41*Assumptions!B48</f>
        <v>62291666666.666687</v>
      </c>
      <c r="J43" s="6">
        <f>J41*Assumptions!B48</f>
        <v>56062500000.000015</v>
      </c>
      <c r="K43" s="6">
        <f>K41*Assumptions!B48</f>
        <v>49833333333.333344</v>
      </c>
      <c r="L43" s="6">
        <f>L41*Assumptions!B48</f>
        <v>43604166666.666679</v>
      </c>
      <c r="M43" s="6">
        <f>M41*Assumptions!B48</f>
        <v>37375000000.000008</v>
      </c>
      <c r="N43" s="6">
        <f>N41*Assumptions!B48</f>
        <v>31145833333.333344</v>
      </c>
      <c r="O43" s="6">
        <f>O41*Assumptions!B48</f>
        <v>24916666666.666676</v>
      </c>
      <c r="P43" s="6">
        <f>P41*Assumptions!B48</f>
        <v>18687500000.000011</v>
      </c>
      <c r="Q43" s="6">
        <f>Q41*Assumptions!B48</f>
        <v>12458333333.333345</v>
      </c>
      <c r="R43" s="6">
        <f>R41*Assumptions!B48</f>
        <v>6229166666.6666794</v>
      </c>
      <c r="S43" s="6">
        <f>S41*Assumptions!B48</f>
        <v>1.2283325195312501E-5</v>
      </c>
      <c r="T43" s="6">
        <f>T41*Assumptions!B48</f>
        <v>1.2283325195312501E-5</v>
      </c>
      <c r="U43" s="6">
        <f>U41*Assumptions!B48</f>
        <v>1.2283325195312501E-5</v>
      </c>
      <c r="V43" s="6">
        <f>V41*Assumptions!B48</f>
        <v>1.2283325195312501E-5</v>
      </c>
      <c r="W43" s="6">
        <f>W41*Assumptions!B48</f>
        <v>1.2283325195312501E-5</v>
      </c>
      <c r="X43" s="6">
        <f>X41*Assumptions!B48</f>
        <v>1.2283325195312501E-5</v>
      </c>
      <c r="Y43" s="6">
        <f>Y41*Assumptions!B48</f>
        <v>1.2283325195312501E-5</v>
      </c>
      <c r="Z43" s="6">
        <f>Z41*Assumptions!B48</f>
        <v>1.2283325195312501E-5</v>
      </c>
      <c r="AA43" s="6">
        <f>AA41*Assumptions!B48</f>
        <v>1.2283325195312501E-5</v>
      </c>
      <c r="AB43" s="6">
        <f>AB41*Assumptions!B48</f>
        <v>1.2283325195312501E-5</v>
      </c>
      <c r="AC43" s="6">
        <f>AC41*Assumptions!B48</f>
        <v>1.2283325195312501E-5</v>
      </c>
      <c r="AD43" s="6">
        <f>AD41*Assumptions!B48</f>
        <v>1.2283325195312501E-5</v>
      </c>
      <c r="AE43" s="6">
        <f>AE41*Assumptions!B48</f>
        <v>1.2283325195312501E-5</v>
      </c>
      <c r="AF43" s="6">
        <f>AF41*Assumptions!B48</f>
        <v>1.2283325195312501E-5</v>
      </c>
      <c r="AG43" s="6">
        <f>AG41*Assumptions!B48</f>
        <v>1.2283325195312501E-5</v>
      </c>
    </row>
    <row r="44" spans="1:33" ht="18" customHeight="1" x14ac:dyDescent="0.45"/>
    <row r="45" spans="1:33" ht="18" customHeight="1" x14ac:dyDescent="0.45"/>
    <row r="46" spans="1:33" ht="18" customHeight="1" x14ac:dyDescent="0.45"/>
    <row r="47" spans="1:33" ht="18" customHeight="1" x14ac:dyDescent="0.45"/>
    <row r="48" spans="1:33" ht="18" customHeight="1" x14ac:dyDescent="0.45"/>
    <row r="49" ht="18" customHeight="1" x14ac:dyDescent="0.45"/>
  </sheetData>
  <mergeCells count="9">
    <mergeCell ref="A15:AG15"/>
    <mergeCell ref="A23:AG23"/>
    <mergeCell ref="A31:AG31"/>
    <mergeCell ref="A40:AG40"/>
    <mergeCell ref="A1:AG1"/>
    <mergeCell ref="B2:C2"/>
    <mergeCell ref="D2:AG2"/>
    <mergeCell ref="A5:AG5"/>
    <mergeCell ref="A10:A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2" sqref="B12"/>
    </sheetView>
  </sheetViews>
  <sheetFormatPr defaultColWidth="8.6640625" defaultRowHeight="14.25" x14ac:dyDescent="0.45"/>
  <cols>
    <col min="1" max="1" width="46.73046875" bestFit="1" customWidth="1"/>
    <col min="2" max="2" width="16.86328125" bestFit="1" customWidth="1"/>
    <col min="3" max="3" width="15.59765625" bestFit="1" customWidth="1"/>
    <col min="4" max="5" width="13.3984375" bestFit="1" customWidth="1"/>
    <col min="6" max="17" width="14.3984375" bestFit="1" customWidth="1"/>
    <col min="18" max="33" width="15.9296875" bestFit="1" customWidth="1"/>
  </cols>
  <sheetData>
    <row r="1" spans="1:33" ht="18" customHeight="1" x14ac:dyDescent="0.45">
      <c r="A1" s="32" t="s">
        <v>131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 spans="1:33" ht="18" customHeight="1" x14ac:dyDescent="0.45">
      <c r="A2" s="16"/>
      <c r="B2" s="16" t="s">
        <v>132</v>
      </c>
      <c r="C2" s="16" t="s">
        <v>133</v>
      </c>
      <c r="D2" s="16" t="s">
        <v>134</v>
      </c>
      <c r="E2" s="16" t="s">
        <v>135</v>
      </c>
      <c r="F2" s="16" t="s">
        <v>136</v>
      </c>
      <c r="G2" s="16" t="s">
        <v>137</v>
      </c>
      <c r="H2" s="16" t="s">
        <v>138</v>
      </c>
      <c r="I2" s="16" t="s">
        <v>139</v>
      </c>
      <c r="J2" s="16" t="s">
        <v>140</v>
      </c>
      <c r="K2" s="16" t="s">
        <v>141</v>
      </c>
      <c r="L2" s="16" t="s">
        <v>142</v>
      </c>
      <c r="M2" s="16" t="s">
        <v>143</v>
      </c>
      <c r="N2" s="16" t="s">
        <v>144</v>
      </c>
      <c r="O2" s="16" t="s">
        <v>145</v>
      </c>
      <c r="P2" s="16" t="s">
        <v>146</v>
      </c>
      <c r="Q2" s="16" t="s">
        <v>147</v>
      </c>
      <c r="R2" s="16" t="s">
        <v>148</v>
      </c>
      <c r="S2" s="16" t="s">
        <v>149</v>
      </c>
      <c r="T2" s="16" t="s">
        <v>150</v>
      </c>
      <c r="U2" s="16" t="s">
        <v>151</v>
      </c>
      <c r="V2" s="16" t="s">
        <v>152</v>
      </c>
      <c r="W2" s="16" t="s">
        <v>153</v>
      </c>
      <c r="X2" s="16" t="s">
        <v>154</v>
      </c>
      <c r="Y2" s="16" t="s">
        <v>155</v>
      </c>
      <c r="Z2" s="16" t="s">
        <v>156</v>
      </c>
      <c r="AA2" s="16" t="s">
        <v>157</v>
      </c>
      <c r="AB2" s="16" t="s">
        <v>158</v>
      </c>
      <c r="AC2" s="16" t="s">
        <v>159</v>
      </c>
      <c r="AD2" s="16" t="s">
        <v>160</v>
      </c>
      <c r="AE2" s="16" t="s">
        <v>161</v>
      </c>
      <c r="AF2" s="16" t="s">
        <v>162</v>
      </c>
      <c r="AG2" s="16" t="s">
        <v>163</v>
      </c>
    </row>
    <row r="3" spans="1:33" ht="18" customHeight="1" x14ac:dyDescent="0.45">
      <c r="A3" s="17" t="s">
        <v>164</v>
      </c>
      <c r="B3" s="4">
        <v>0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  <c r="AG3" s="4">
        <v>31</v>
      </c>
    </row>
    <row r="4" spans="1:33" ht="18" customHeight="1" x14ac:dyDescent="0.45">
      <c r="A4" s="17" t="s">
        <v>165</v>
      </c>
      <c r="B4" s="21">
        <f>'Income &amp; Cash Flow'!B38</f>
        <v>-685000000000</v>
      </c>
      <c r="C4" s="21">
        <f>'Income &amp; Cash Flow'!C38</f>
        <v>-685350000000</v>
      </c>
      <c r="D4" s="21">
        <f>'Income &amp; Cash Flow'!D38</f>
        <v>55338541666.666672</v>
      </c>
      <c r="E4" s="21">
        <f>'Income &amp; Cash Flow'!E38</f>
        <v>83716791666.666656</v>
      </c>
      <c r="F4" s="21">
        <f>'Income &amp; Cash Flow'!F38</f>
        <v>115501055094.79166</v>
      </c>
      <c r="G4" s="21">
        <f>'Income &amp; Cash Flow'!G38</f>
        <v>151180690930.32748</v>
      </c>
      <c r="H4" s="21">
        <f>'Income &amp; Cash Flow'!H38</f>
        <v>178815366803.90897</v>
      </c>
      <c r="I4" s="21">
        <f>'Income &amp; Cash Flow'!I38</f>
        <v>236545160593.00226</v>
      </c>
      <c r="J4" s="21">
        <f>'Income &amp; Cash Flow'!J38</f>
        <v>287602113364.11853</v>
      </c>
      <c r="K4" s="21">
        <f>'Income &amp; Cash Flow'!K38</f>
        <v>345323442183.99994</v>
      </c>
      <c r="L4" s="21">
        <f>'Income &amp; Cash Flow'!L38</f>
        <v>410666651281.45282</v>
      </c>
      <c r="M4" s="21">
        <f>'Income &amp; Cash Flow'!M38</f>
        <v>472226814305.35718</v>
      </c>
      <c r="N4" s="21">
        <f>'Income &amp; Cash Flow'!N38</f>
        <v>568756339611.09595</v>
      </c>
      <c r="O4" s="21">
        <f>'Income &amp; Cash Flow'!O38</f>
        <v>664187575324.51184</v>
      </c>
      <c r="P4" s="21">
        <f>'Income &amp; Cash Flow'!P38</f>
        <v>772658662188.42761</v>
      </c>
      <c r="Q4" s="21">
        <f>'Income &amp; Cash Flow'!Q38</f>
        <v>896043100816.89148</v>
      </c>
      <c r="R4" s="21">
        <f>'Income &amp; Cash Flow'!R38</f>
        <v>1023983567024.6748</v>
      </c>
      <c r="S4" s="21">
        <f>'Income &amp; Cash Flow'!S38</f>
        <v>1196430585574.2368</v>
      </c>
      <c r="T4" s="21">
        <f>'Income &amp; Cash Flow'!T38</f>
        <v>1374014885373.2817</v>
      </c>
      <c r="U4" s="21">
        <f>'Income &amp; Cash Flow'!U38</f>
        <v>1577113609445.9541</v>
      </c>
      <c r="V4" s="21">
        <f>'Income &amp; Cash Flow'!V38</f>
        <v>1809392542699.7683</v>
      </c>
      <c r="W4" s="21">
        <f>'Income &amp; Cash Flow'!W38</f>
        <v>2062544151688.8245</v>
      </c>
      <c r="X4" s="21">
        <f>'Income &amp; Cash Flow'!X38</f>
        <v>2378863255599.3818</v>
      </c>
      <c r="Y4" s="21">
        <f>'Income &amp; Cash Flow'!Y38</f>
        <v>2726333569264.2896</v>
      </c>
      <c r="Z4" s="21">
        <f>'Income &amp; Cash Flow'!Z38</f>
        <v>3123726680245.0029</v>
      </c>
      <c r="AA4" s="21">
        <f>'Income &amp; Cash Flow'!AA38</f>
        <v>3578215246445.8696</v>
      </c>
      <c r="AB4" s="21">
        <f>'Income &amp; Cash Flow'!AB38</f>
        <v>4085502457395.646</v>
      </c>
      <c r="AC4" s="21">
        <f>'Income &amp; Cash Flow'!AC38</f>
        <v>4692470095878.6328</v>
      </c>
      <c r="AD4" s="21">
        <f>'Income &amp; Cash Flow'!AD38</f>
        <v>5372347872320.6621</v>
      </c>
      <c r="AE4" s="21">
        <f>'Income &amp; Cash Flow'!AE38</f>
        <v>6149907088293</v>
      </c>
      <c r="AF4" s="21">
        <f>'Income &amp; Cash Flow'!AF38</f>
        <v>7039182124620.1611</v>
      </c>
      <c r="AG4" s="21">
        <f>'Income &amp; Cash Flow'!AG38</f>
        <v>8056223751791.6299</v>
      </c>
    </row>
    <row r="5" spans="1:33" ht="18" customHeight="1" x14ac:dyDescent="0.45">
      <c r="A5" s="17" t="s">
        <v>166</v>
      </c>
      <c r="B5" s="22">
        <f>1/(1+WACC!B17)^B3</f>
        <v>1</v>
      </c>
      <c r="C5" s="22">
        <f>1/(1+WACC!B17)^C3</f>
        <v>0.89375488772204215</v>
      </c>
      <c r="D5" s="22">
        <f>1/(1+WACC!B17)^D3</f>
        <v>0.7987977993270402</v>
      </c>
      <c r="E5" s="22">
        <f>1/(1+WACC!B17)^E3</f>
        <v>0.71392943745015314</v>
      </c>
      <c r="F5" s="22">
        <f>1/(1+WACC!B17)^F3</f>
        <v>0.63807792420972231</v>
      </c>
      <c r="G5" s="22">
        <f>1/(1+WACC!B17)^G3</f>
        <v>0.57028526350997411</v>
      </c>
      <c r="H5" s="22">
        <f>1/(1+WACC!B17)^H3</f>
        <v>0.50969524165789204</v>
      </c>
      <c r="I5" s="22">
        <f>1/(1+WACC!B17)^I3</f>
        <v>0.45554261348040848</v>
      </c>
      <c r="J5" s="22">
        <f>1/(1+WACC!B17)^J3</f>
        <v>0.40714343736378811</v>
      </c>
      <c r="K5" s="22">
        <f>1/(1+WACC!B17)^K3</f>
        <v>0.36388643714783875</v>
      </c>
      <c r="L5" s="22">
        <f>1/(1+WACC!B17)^L3</f>
        <v>0.32522528177664056</v>
      </c>
      <c r="M5" s="22">
        <f>1/(1+WACC!B17)^M3</f>
        <v>0.29067168519865094</v>
      </c>
      <c r="N5" s="22">
        <f>1/(1+WACC!B17)^N3</f>
        <v>0.25978923936869702</v>
      </c>
      <c r="O5" s="22">
        <f>1/(1+WACC!B17)^O3</f>
        <v>0.23218790246336457</v>
      </c>
      <c r="P5" s="22">
        <f>1/(1+WACC!B17)^P3</f>
        <v>0.20751907269656084</v>
      </c>
      <c r="Q5" s="22">
        <f>1/(1+WACC!B17)^Q3</f>
        <v>0.18547118551809702</v>
      </c>
      <c r="R5" s="22">
        <f>1/(1+WACC!B17)^R3</f>
        <v>0.16576577858840086</v>
      </c>
      <c r="S5" s="22">
        <f>1/(1+WACC!B17)^S3</f>
        <v>0.14815397483043313</v>
      </c>
      <c r="T5" s="22">
        <f>1/(1+WACC!B17)^T3</f>
        <v>0.13241333914014802</v>
      </c>
      <c r="U5" s="22">
        <f>1/(1+WACC!B17)^U3</f>
        <v>0.11834506905610367</v>
      </c>
      <c r="V5" s="22">
        <f>1/(1+WACC!B17)^V3</f>
        <v>0.10577148390669525</v>
      </c>
      <c r="W5" s="22">
        <f>1/(1+WACC!B17)^W3</f>
        <v>9.4533780723222216E-2</v>
      </c>
      <c r="X5" s="22">
        <f>1/(1+WACC!B17)^X3</f>
        <v>8.4490028576223619E-2</v>
      </c>
      <c r="Y5" s="22">
        <f>1/(1+WACC!B17)^Y3</f>
        <v>7.5513376003774862E-2</v>
      </c>
      <c r="Z5" s="22">
        <f>1/(1+WACC!B17)^Z3</f>
        <v>6.7490448891766155E-2</v>
      </c>
      <c r="AA5" s="22">
        <f>1/(1+WACC!B17)^AA3</f>
        <v>6.0319918571570687E-2</v>
      </c>
      <c r="AB5" s="22">
        <f>1/(1+WACC!B17)^AB3</f>
        <v>5.3911222050336896E-2</v>
      </c>
      <c r="AC5" s="22">
        <f>1/(1+WACC!B17)^AC3</f>
        <v>4.8183418210556932E-2</v>
      </c>
      <c r="AD5" s="22">
        <f>1/(1+WACC!B17)^AD3</f>
        <v>4.3064165532840502E-2</v>
      </c>
      <c r="AE5" s="22">
        <f>1/(1+WACC!B17)^AE3</f>
        <v>3.8488808430647309E-2</v>
      </c>
      <c r="AF5" s="22">
        <f>1/(1+WACC!B17)^AF3</f>
        <v>3.4399560657488365E-2</v>
      </c>
      <c r="AG5" s="22">
        <f>1/(1+WACC!B17)^AG3</f>
        <v>3.07447754731211E-2</v>
      </c>
    </row>
    <row r="6" spans="1:33" ht="18" customHeight="1" x14ac:dyDescent="0.45">
      <c r="A6" s="17" t="s">
        <v>167</v>
      </c>
      <c r="B6" s="6">
        <f t="shared" ref="B6:AG6" si="0">B4*B5</f>
        <v>-685000000000</v>
      </c>
      <c r="C6" s="6">
        <f t="shared" si="0"/>
        <v>-612534912300.30164</v>
      </c>
      <c r="D6" s="6">
        <f t="shared" si="0"/>
        <v>44204305301.301056</v>
      </c>
      <c r="E6" s="6">
        <f t="shared" si="0"/>
        <v>59767881979.714996</v>
      </c>
      <c r="F6" s="6">
        <f t="shared" si="0"/>
        <v>73698673478.917435</v>
      </c>
      <c r="G6" s="6">
        <f t="shared" si="0"/>
        <v>86216120164.821762</v>
      </c>
      <c r="H6" s="6">
        <f t="shared" si="0"/>
        <v>91141341595.262985</v>
      </c>
      <c r="I6" s="6">
        <f t="shared" si="0"/>
        <v>107756400662.67918</v>
      </c>
      <c r="J6" s="6">
        <f t="shared" si="0"/>
        <v>117095313028.15707</v>
      </c>
      <c r="K6" s="6">
        <f t="shared" si="0"/>
        <v>125658517039.96342</v>
      </c>
      <c r="L6" s="6">
        <f t="shared" si="0"/>
        <v>133559177379.27988</v>
      </c>
      <c r="M6" s="6">
        <f t="shared" si="0"/>
        <v>137262963910.12857</v>
      </c>
      <c r="N6" s="6">
        <f t="shared" si="0"/>
        <v>147756776853.69095</v>
      </c>
      <c r="O6" s="6">
        <f t="shared" si="0"/>
        <v>154216319956.82635</v>
      </c>
      <c r="P6" s="6">
        <f t="shared" si="0"/>
        <v>160341409088.30774</v>
      </c>
      <c r="Q6" s="6">
        <f t="shared" si="0"/>
        <v>166190176183.82059</v>
      </c>
      <c r="R6" s="6">
        <f t="shared" si="0"/>
        <v>169741433249.57318</v>
      </c>
      <c r="S6" s="6">
        <f t="shared" si="0"/>
        <v>177255946861.52585</v>
      </c>
      <c r="T6" s="6">
        <f t="shared" si="0"/>
        <v>181937899000.54398</v>
      </c>
      <c r="U6" s="6">
        <f t="shared" si="0"/>
        <v>186643619019.20236</v>
      </c>
      <c r="V6" s="6">
        <f t="shared" si="0"/>
        <v>191382134211.06293</v>
      </c>
      <c r="W6" s="6">
        <f t="shared" si="0"/>
        <v>194980096567.7157</v>
      </c>
      <c r="X6" s="6">
        <f t="shared" si="0"/>
        <v>200990224444.52011</v>
      </c>
      <c r="Y6" s="6">
        <f t="shared" si="0"/>
        <v>205874651927.56787</v>
      </c>
      <c r="Z6" s="6">
        <f t="shared" si="0"/>
        <v>210821715864.92172</v>
      </c>
      <c r="AA6" s="6">
        <f t="shared" si="0"/>
        <v>215837652297.1676</v>
      </c>
      <c r="AB6" s="6">
        <f t="shared" si="0"/>
        <v>220254430167.85373</v>
      </c>
      <c r="AC6" s="6">
        <f t="shared" si="0"/>
        <v>226099249070.25235</v>
      </c>
      <c r="AD6" s="6">
        <f t="shared" si="0"/>
        <v>231355678073.62045</v>
      </c>
      <c r="AE6" s="6">
        <f t="shared" si="0"/>
        <v>236702595787.58926</v>
      </c>
      <c r="AF6" s="6">
        <f t="shared" si="0"/>
        <v>242144772474.97906</v>
      </c>
      <c r="AG6" s="6">
        <f t="shared" si="0"/>
        <v>247686790410.05896</v>
      </c>
    </row>
    <row r="7" spans="1:33" ht="18" customHeight="1" x14ac:dyDescent="0.45"/>
    <row r="8" spans="1:33" ht="18" customHeight="1" x14ac:dyDescent="0.45">
      <c r="A8" s="37" t="s">
        <v>60</v>
      </c>
      <c r="B8" s="37"/>
      <c r="C8" s="37"/>
    </row>
    <row r="9" spans="1:33" ht="18" customHeight="1" x14ac:dyDescent="0.45">
      <c r="A9" s="17" t="s">
        <v>65</v>
      </c>
      <c r="B9" s="7">
        <f>WACC!B16</f>
        <v>0.10887500000000001</v>
      </c>
    </row>
    <row r="10" spans="1:33" ht="18" customHeight="1" x14ac:dyDescent="0.45">
      <c r="A10" s="17" t="s">
        <v>168</v>
      </c>
      <c r="B10" s="7">
        <f>WACC!B17</f>
        <v>0.11887500000000001</v>
      </c>
    </row>
    <row r="11" spans="1:33" ht="18" customHeight="1" x14ac:dyDescent="0.45">
      <c r="A11" s="17" t="s">
        <v>169</v>
      </c>
      <c r="B11" s="6">
        <f>SUM(B6:AI6)</f>
        <v>3647039353750.7256</v>
      </c>
    </row>
    <row r="12" spans="1:33" ht="18" customHeight="1" x14ac:dyDescent="0.45">
      <c r="A12" s="23" t="s">
        <v>170</v>
      </c>
      <c r="B12" s="24">
        <f>SUM(B6:AG6)</f>
        <v>3647039353750.7256</v>
      </c>
    </row>
    <row r="13" spans="1:33" ht="18" customHeight="1" x14ac:dyDescent="0.45"/>
    <row r="14" spans="1:33" ht="18" customHeight="1" x14ac:dyDescent="0.45">
      <c r="A14" s="14" t="s">
        <v>171</v>
      </c>
    </row>
    <row r="15" spans="1:33" ht="18" customHeight="1" x14ac:dyDescent="0.45">
      <c r="A15" s="17" t="str">
        <f>IF(B12&gt;0,"NPV is POSITIVE → Project ACCEPTED (creates value)","NPV is NEGATIVE → Project REJECTED (destroys value)")</f>
        <v>NPV is POSITIVE → Project ACCEPTED (creates value)</v>
      </c>
    </row>
    <row r="16" spans="1:33" ht="18" customHeight="1" x14ac:dyDescent="0.45"/>
    <row r="17" ht="18" customHeight="1" x14ac:dyDescent="0.45"/>
    <row r="18" ht="18" customHeight="1" x14ac:dyDescent="0.45"/>
    <row r="19" ht="18" customHeight="1" x14ac:dyDescent="0.45"/>
    <row r="20" ht="18" customHeight="1" x14ac:dyDescent="0.45"/>
    <row r="21" ht="18" customHeight="1" x14ac:dyDescent="0.45"/>
    <row r="22" ht="18" customHeight="1" x14ac:dyDescent="0.45"/>
    <row r="23" ht="18" customHeight="1" x14ac:dyDescent="0.45"/>
    <row r="24" ht="18" customHeight="1" x14ac:dyDescent="0.45"/>
    <row r="25" ht="18" customHeight="1" x14ac:dyDescent="0.45"/>
    <row r="26" ht="18" customHeight="1" x14ac:dyDescent="0.45"/>
    <row r="27" ht="18" customHeight="1" x14ac:dyDescent="0.45"/>
    <row r="28" ht="18" customHeight="1" x14ac:dyDescent="0.45"/>
    <row r="29" ht="18" customHeight="1" x14ac:dyDescent="0.45"/>
    <row r="30" ht="18" customHeight="1" x14ac:dyDescent="0.45"/>
    <row r="31" ht="18" customHeight="1" x14ac:dyDescent="0.45"/>
    <row r="32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</sheetData>
  <mergeCells count="2">
    <mergeCell ref="A1:AG1"/>
    <mergeCell ref="A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9"/>
  <sheetViews>
    <sheetView zoomScaleNormal="10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D20" sqref="D20"/>
    </sheetView>
  </sheetViews>
  <sheetFormatPr defaultColWidth="8.6640625" defaultRowHeight="14.25" x14ac:dyDescent="0.45"/>
  <cols>
    <col min="1" max="33" width="15.6640625" customWidth="1"/>
  </cols>
  <sheetData>
    <row r="1" spans="1:33" ht="18" customHeight="1" x14ac:dyDescent="0.45">
      <c r="A1" s="32" t="s">
        <v>172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 spans="1:33" ht="18" customHeight="1" x14ac:dyDescent="0.45">
      <c r="A2" s="16"/>
      <c r="B2" s="16" t="s">
        <v>132</v>
      </c>
      <c r="C2" s="16" t="s">
        <v>133</v>
      </c>
      <c r="D2" s="16" t="s">
        <v>134</v>
      </c>
      <c r="E2" s="16" t="s">
        <v>135</v>
      </c>
      <c r="F2" s="16" t="s">
        <v>136</v>
      </c>
      <c r="G2" s="16" t="s">
        <v>137</v>
      </c>
      <c r="H2" s="16" t="s">
        <v>138</v>
      </c>
      <c r="I2" s="16" t="s">
        <v>139</v>
      </c>
      <c r="J2" s="16" t="s">
        <v>140</v>
      </c>
      <c r="K2" s="16" t="s">
        <v>141</v>
      </c>
      <c r="L2" s="16" t="s">
        <v>142</v>
      </c>
      <c r="M2" s="16" t="s">
        <v>143</v>
      </c>
      <c r="N2" s="16" t="s">
        <v>144</v>
      </c>
      <c r="O2" s="16" t="s">
        <v>145</v>
      </c>
      <c r="P2" s="16" t="s">
        <v>146</v>
      </c>
      <c r="Q2" s="16" t="s">
        <v>147</v>
      </c>
      <c r="R2" s="16" t="s">
        <v>148</v>
      </c>
      <c r="S2" s="16" t="s">
        <v>149</v>
      </c>
      <c r="T2" s="16" t="s">
        <v>150</v>
      </c>
      <c r="U2" s="16" t="s">
        <v>151</v>
      </c>
      <c r="V2" s="16" t="s">
        <v>152</v>
      </c>
      <c r="W2" s="16" t="s">
        <v>153</v>
      </c>
      <c r="X2" s="16" t="s">
        <v>154</v>
      </c>
      <c r="Y2" s="16" t="s">
        <v>155</v>
      </c>
      <c r="Z2" s="16" t="s">
        <v>156</v>
      </c>
      <c r="AA2" s="16" t="s">
        <v>157</v>
      </c>
      <c r="AB2" s="16" t="s">
        <v>158</v>
      </c>
      <c r="AC2" s="16" t="s">
        <v>159</v>
      </c>
      <c r="AD2" s="16" t="s">
        <v>160</v>
      </c>
      <c r="AE2" s="16" t="s">
        <v>161</v>
      </c>
      <c r="AF2" s="16" t="s">
        <v>162</v>
      </c>
      <c r="AG2" s="16" t="s">
        <v>163</v>
      </c>
    </row>
    <row r="3" spans="1:33" ht="18" customHeight="1" x14ac:dyDescent="0.45">
      <c r="A3" s="17" t="s">
        <v>109</v>
      </c>
      <c r="B3" s="21">
        <f>'Income &amp; Cash Flow'!B13</f>
        <v>0</v>
      </c>
      <c r="C3" s="21">
        <f>'Income &amp; Cash Flow'!C13</f>
        <v>0</v>
      </c>
      <c r="D3" s="21">
        <f>'Income &amp; Cash Flow'!D13</f>
        <v>550000000000</v>
      </c>
      <c r="E3" s="21">
        <f>'Income &amp; Cash Flow'!E13</f>
        <v>629021250000</v>
      </c>
      <c r="F3" s="21">
        <f>'Income &amp; Cash Flow'!F13</f>
        <v>719395878093.75</v>
      </c>
      <c r="G3" s="21">
        <f>'Income &amp; Cash Flow'!G13</f>
        <v>822755080878.86951</v>
      </c>
      <c r="H3" s="21">
        <f>'Income &amp; Cash Flow'!H13</f>
        <v>940964417124.14111</v>
      </c>
      <c r="I3" s="21">
        <f>'Income &amp; Cash Flow'!I13</f>
        <v>1076157479754.452</v>
      </c>
      <c r="J3" s="21">
        <f>'Income &amp; Cash Flow'!J13</f>
        <v>1230774405658.1729</v>
      </c>
      <c r="K3" s="21">
        <f>'Income &amp; Cash Flow'!K13</f>
        <v>1407605918391.1108</v>
      </c>
      <c r="L3" s="21">
        <f>'Income &amp; Cash Flow'!L13</f>
        <v>1609843698715.9536</v>
      </c>
      <c r="M3" s="21">
        <f>'Income &amp; Cash Flow'!M13</f>
        <v>1841137992128.968</v>
      </c>
      <c r="N3" s="21">
        <f>'Income &amp; Cash Flow'!N13</f>
        <v>2105663493148.0977</v>
      </c>
      <c r="O3" s="21">
        <f>'Income &amp; Cash Flow'!O13</f>
        <v>2408194695526.1504</v>
      </c>
      <c r="P3" s="21">
        <f>'Income &amp; Cash Flow'!P13</f>
        <v>2754192068405.8696</v>
      </c>
      <c r="Q3" s="21">
        <f>'Income &amp; Cash Flow'!Q13</f>
        <v>3149900613834.0825</v>
      </c>
      <c r="R3" s="21">
        <f>'Income &amp; Cash Flow'!R13</f>
        <v>3602462584526.6938</v>
      </c>
      <c r="S3" s="21">
        <f>'Income &amp; Cash Flow'!S13</f>
        <v>4120046396358.5664</v>
      </c>
      <c r="T3" s="21">
        <f>'Income &amp; Cash Flow'!T13</f>
        <v>4711994062355.3828</v>
      </c>
      <c r="U3" s="21">
        <f>'Income &amp; Cash Flow'!U13</f>
        <v>5388989809264.291</v>
      </c>
      <c r="V3" s="21">
        <f>'Income &amp; Cash Flow'!V13</f>
        <v>6163252920110.3379</v>
      </c>
      <c r="W3" s="21">
        <f>'Income &amp; Cash Flow'!W13</f>
        <v>7048758283407.1914</v>
      </c>
      <c r="X3" s="21">
        <f>'Income &amp; Cash Flow'!X13</f>
        <v>8061488629775.7168</v>
      </c>
      <c r="Y3" s="21">
        <f>'Income &amp; Cash Flow'!Y13</f>
        <v>9219723008658.7422</v>
      </c>
      <c r="Z3" s="21">
        <f>'Income &amp; Cash Flow'!Z13</f>
        <v>10544366711927.787</v>
      </c>
      <c r="AA3" s="21">
        <f>'Income &amp; Cash Flow'!AA13</f>
        <v>12059328599264.01</v>
      </c>
      <c r="AB3" s="21">
        <f>'Income &amp; Cash Flow'!AB13</f>
        <v>13791952635763.266</v>
      </c>
      <c r="AC3" s="21">
        <f>'Income &amp; Cash Flow'!AC13</f>
        <v>15773511430706.553</v>
      </c>
      <c r="AD3" s="21">
        <f>'Income &amp; Cash Flow'!AD13</f>
        <v>18039770685513.316</v>
      </c>
      <c r="AE3" s="21">
        <f>'Income &amp; Cash Flow'!AE13</f>
        <v>20631634738754.441</v>
      </c>
      <c r="AF3" s="21">
        <f>'Income &amp; Cash Flow'!AF13</f>
        <v>23595884859844.98</v>
      </c>
      <c r="AG3" s="21">
        <f>'Income &amp; Cash Flow'!AG13</f>
        <v>26986023617083.207</v>
      </c>
    </row>
    <row r="4" spans="1:33" ht="18" customHeight="1" x14ac:dyDescent="0.45">
      <c r="A4" s="17" t="s">
        <v>112</v>
      </c>
      <c r="B4" s="21">
        <f>'Income &amp; Cash Flow'!B18</f>
        <v>0</v>
      </c>
      <c r="C4" s="21">
        <f>'Income &amp; Cash Flow'!C18</f>
        <v>0</v>
      </c>
      <c r="D4" s="21">
        <f>'Income &amp; Cash Flow'!D18</f>
        <v>115000000000</v>
      </c>
      <c r="E4" s="21">
        <f>'Income &amp; Cash Flow'!E18</f>
        <v>119024999999.99998</v>
      </c>
      <c r="F4" s="21">
        <f>'Income &amp; Cash Flow'!F18</f>
        <v>123190874999.99997</v>
      </c>
      <c r="G4" s="21">
        <f>'Income &amp; Cash Flow'!G18</f>
        <v>127502555624.99995</v>
      </c>
      <c r="H4" s="21">
        <f>'Income &amp; Cash Flow'!H18</f>
        <v>131965145071.87494</v>
      </c>
      <c r="I4" s="21">
        <f>'Income &amp; Cash Flow'!I18</f>
        <v>136583925149.39055</v>
      </c>
      <c r="J4" s="21">
        <f>'Income &amp; Cash Flow'!J18</f>
        <v>141364362529.6192</v>
      </c>
      <c r="K4" s="21">
        <f>'Income &amp; Cash Flow'!K18</f>
        <v>146312115218.15585</v>
      </c>
      <c r="L4" s="21">
        <f>'Income &amp; Cash Flow'!L18</f>
        <v>151433039250.79129</v>
      </c>
      <c r="M4" s="21">
        <f>'Income &amp; Cash Flow'!M18</f>
        <v>156733195624.56897</v>
      </c>
      <c r="N4" s="21">
        <f>'Income &amp; Cash Flow'!N18</f>
        <v>162218857471.42886</v>
      </c>
      <c r="O4" s="21">
        <f>'Income &amp; Cash Flow'!O18</f>
        <v>167896517482.92886</v>
      </c>
      <c r="P4" s="21">
        <f>'Income &amp; Cash Flow'!P18</f>
        <v>173772895594.83136</v>
      </c>
      <c r="Q4" s="21">
        <f>'Income &amp; Cash Flow'!Q18</f>
        <v>179854946940.65045</v>
      </c>
      <c r="R4" s="21">
        <f>'Income &amp; Cash Flow'!R18</f>
        <v>186149870083.57321</v>
      </c>
      <c r="S4" s="21">
        <f>'Income &amp; Cash Flow'!S18</f>
        <v>192665115536.49826</v>
      </c>
      <c r="T4" s="21">
        <f>'Income &amp; Cash Flow'!T18</f>
        <v>199408394580.2757</v>
      </c>
      <c r="U4" s="21">
        <f>'Income &amp; Cash Flow'!U18</f>
        <v>206387688390.58533</v>
      </c>
      <c r="V4" s="21">
        <f>'Income &amp; Cash Flow'!V18</f>
        <v>213611257484.2558</v>
      </c>
      <c r="W4" s="21">
        <f>'Income &amp; Cash Flow'!W18</f>
        <v>221087651496.20474</v>
      </c>
      <c r="X4" s="21">
        <f>'Income &amp; Cash Flow'!X18</f>
        <v>228825719298.5719</v>
      </c>
      <c r="Y4" s="21">
        <f>'Income &amp; Cash Flow'!Y18</f>
        <v>236834619474.02191</v>
      </c>
      <c r="Z4" s="21">
        <f>'Income &amp; Cash Flow'!Z18</f>
        <v>245123831155.61267</v>
      </c>
      <c r="AA4" s="21">
        <f>'Income &amp; Cash Flow'!AA18</f>
        <v>253703165246.05908</v>
      </c>
      <c r="AB4" s="21">
        <f>'Income &amp; Cash Flow'!AB18</f>
        <v>262582776029.67114</v>
      </c>
      <c r="AC4" s="21">
        <f>'Income &amp; Cash Flow'!AC18</f>
        <v>271773173190.70963</v>
      </c>
      <c r="AD4" s="21">
        <f>'Income &amp; Cash Flow'!AD18</f>
        <v>281285234252.38446</v>
      </c>
      <c r="AE4" s="21">
        <f>'Income &amp; Cash Flow'!AE18</f>
        <v>291130217451.2179</v>
      </c>
      <c r="AF4" s="21">
        <f>'Income &amp; Cash Flow'!AF18</f>
        <v>301319775062.0105</v>
      </c>
      <c r="AG4" s="21">
        <f>'Income &amp; Cash Flow'!AG18</f>
        <v>311865967189.18085</v>
      </c>
    </row>
    <row r="5" spans="1:33" ht="18" customHeight="1" x14ac:dyDescent="0.45">
      <c r="A5" s="17" t="s">
        <v>113</v>
      </c>
      <c r="B5" s="21">
        <f>'Income &amp; Cash Flow'!B19</f>
        <v>0</v>
      </c>
      <c r="C5" s="21">
        <f>'Income &amp; Cash Flow'!C19</f>
        <v>0</v>
      </c>
      <c r="D5" s="21">
        <f>'Income &amp; Cash Flow'!D19</f>
        <v>215000000000</v>
      </c>
      <c r="E5" s="21">
        <f>'Income &amp; Cash Flow'!E19</f>
        <v>258387750000</v>
      </c>
      <c r="F5" s="21">
        <f>'Income &amp; Cash Flow'!F19</f>
        <v>308446651856.25</v>
      </c>
      <c r="G5" s="21">
        <f>'Income &amp; Cash Flow'!G19</f>
        <v>366150492902.32178</v>
      </c>
      <c r="H5" s="21">
        <f>'Income &amp; Cash Flow'!H19</f>
        <v>432613505202.60968</v>
      </c>
      <c r="I5" s="21">
        <f>'Income &amp; Cash Flow'!I19</f>
        <v>509110562703.28058</v>
      </c>
      <c r="J5" s="21">
        <f>'Income &amp; Cash Flow'!J19</f>
        <v>597100280865.28442</v>
      </c>
      <c r="K5" s="21">
        <f>'Income &amp; Cash Flow'!K19</f>
        <v>698251435816.51062</v>
      </c>
      <c r="L5" s="21">
        <f>'Income &amp; Cash Flow'!L19</f>
        <v>814473179978.78088</v>
      </c>
      <c r="M5" s="21">
        <f>'Income &amp; Cash Flow'!M19</f>
        <v>947949599652.81189</v>
      </c>
      <c r="N5" s="21">
        <f>'Income &amp; Cash Flow'!N19</f>
        <v>1101179238417.4297</v>
      </c>
      <c r="O5" s="21">
        <f>'Income &amp; Cash Flow'!O19</f>
        <v>1277020299832.7612</v>
      </c>
      <c r="P5" s="21">
        <f>'Income &amp; Cash Flow'!P19</f>
        <v>1478742345448.6904</v>
      </c>
      <c r="Q5" s="21">
        <f>'Income &amp; Cash Flow'!Q19</f>
        <v>1710085421359.7991</v>
      </c>
      <c r="R5" s="21">
        <f>'Income &amp; Cash Flow'!R19</f>
        <v>1975327680632.4429</v>
      </c>
      <c r="S5" s="21">
        <f>'Income &amp; Cash Flow'!S19</f>
        <v>2279362722278.6416</v>
      </c>
      <c r="T5" s="21">
        <f>'Income &amp; Cash Flow'!T19</f>
        <v>2627788042832.9536</v>
      </c>
      <c r="U5" s="21">
        <f>'Income &amp; Cash Flow'!U19</f>
        <v>3027006197167.9893</v>
      </c>
      <c r="V5" s="21">
        <f>'Income &amp; Cash Flow'!V19</f>
        <v>3484340494581.9468</v>
      </c>
      <c r="W5" s="21">
        <f>'Income &amp; Cash Flow'!W19</f>
        <v>4008167318548.1099</v>
      </c>
      <c r="X5" s="21">
        <f>'Income &amp; Cash Flow'!X19</f>
        <v>4608067458566.8574</v>
      </c>
      <c r="Y5" s="21">
        <f>'Income &amp; Cash Flow'!Y19</f>
        <v>5294999185721.2236</v>
      </c>
      <c r="Z5" s="21">
        <f>'Income &amp; Cash Flow'!Z19</f>
        <v>6081496196001.0596</v>
      </c>
      <c r="AA5" s="21">
        <f>'Income &amp; Cash Flow'!AA19</f>
        <v>6981893994312.3457</v>
      </c>
      <c r="AB5" s="21">
        <f>'Income &amp; Cash Flow'!AB19</f>
        <v>8012588805428.2881</v>
      </c>
      <c r="AC5" s="21">
        <f>'Income &amp; Cash Flow'!AC19</f>
        <v>9192333685233.2227</v>
      </c>
      <c r="AD5" s="21">
        <f>'Income &amp; Cash Flow'!AD19</f>
        <v>10542577177055.605</v>
      </c>
      <c r="AE5" s="21">
        <f>'Income &amp; Cash Flow'!AE19</f>
        <v>12087850625801.445</v>
      </c>
      <c r="AF5" s="21">
        <f>'Income &amp; Cash Flow'!AF19</f>
        <v>13856211140844.979</v>
      </c>
      <c r="AG5" s="21">
        <f>'Income &amp; Cash Flow'!AG19</f>
        <v>15879748203060.742</v>
      </c>
    </row>
    <row r="6" spans="1:33" ht="18" customHeight="1" x14ac:dyDescent="0.45">
      <c r="A6" s="17" t="s">
        <v>173</v>
      </c>
      <c r="B6" s="21">
        <f>'Income &amp; Cash Flow'!B20</f>
        <v>0</v>
      </c>
      <c r="C6" s="21">
        <f>'Income &amp; Cash Flow'!C20</f>
        <v>0</v>
      </c>
      <c r="D6" s="21">
        <f>'Income &amp; Cash Flow'!D20</f>
        <v>330000000000</v>
      </c>
      <c r="E6" s="21">
        <f>'Income &amp; Cash Flow'!E20</f>
        <v>377412750000</v>
      </c>
      <c r="F6" s="21">
        <f>'Income &amp; Cash Flow'!F20</f>
        <v>431637526856.25</v>
      </c>
      <c r="G6" s="21">
        <f>'Income &amp; Cash Flow'!G20</f>
        <v>493653048527.32172</v>
      </c>
      <c r="H6" s="21">
        <f>'Income &amp; Cash Flow'!H20</f>
        <v>564578650274.48462</v>
      </c>
      <c r="I6" s="21">
        <f>'Income &amp; Cash Flow'!I20</f>
        <v>645694487852.67114</v>
      </c>
      <c r="J6" s="21">
        <f>'Income &amp; Cash Flow'!J20</f>
        <v>738464643394.90356</v>
      </c>
      <c r="K6" s="21">
        <f>'Income &amp; Cash Flow'!K20</f>
        <v>844563551034.6665</v>
      </c>
      <c r="L6" s="21">
        <f>'Income &amp; Cash Flow'!L20</f>
        <v>965906219229.57214</v>
      </c>
      <c r="M6" s="21">
        <f>'Income &amp; Cash Flow'!M20</f>
        <v>1104682795277.3809</v>
      </c>
      <c r="N6" s="21">
        <f>'Income &amp; Cash Flow'!N20</f>
        <v>1263398095888.8586</v>
      </c>
      <c r="O6" s="21">
        <f>'Income &amp; Cash Flow'!O20</f>
        <v>1444916817315.6902</v>
      </c>
      <c r="P6" s="21">
        <f>'Income &amp; Cash Flow'!P20</f>
        <v>1652515241043.5217</v>
      </c>
      <c r="Q6" s="21">
        <f>'Income &amp; Cash Flow'!Q20</f>
        <v>1889940368300.4495</v>
      </c>
      <c r="R6" s="21">
        <f>'Income &amp; Cash Flow'!R20</f>
        <v>2161477550716.0161</v>
      </c>
      <c r="S6" s="21">
        <f>'Income &amp; Cash Flow'!S20</f>
        <v>2472027837815.1396</v>
      </c>
      <c r="T6" s="21">
        <f>'Income &amp; Cash Flow'!T20</f>
        <v>2827196437413.2295</v>
      </c>
      <c r="U6" s="21">
        <f>'Income &amp; Cash Flow'!U20</f>
        <v>3233393885558.5747</v>
      </c>
      <c r="V6" s="21">
        <f>'Income &amp; Cash Flow'!V20</f>
        <v>3697951752066.2026</v>
      </c>
      <c r="W6" s="21">
        <f>'Income &amp; Cash Flow'!W20</f>
        <v>4229254970044.3145</v>
      </c>
      <c r="X6" s="21">
        <f>'Income &amp; Cash Flow'!X20</f>
        <v>4836893177865.4297</v>
      </c>
      <c r="Y6" s="21">
        <f>'Income &amp; Cash Flow'!Y20</f>
        <v>5531833805195.2451</v>
      </c>
      <c r="Z6" s="21">
        <f>'Income &amp; Cash Flow'!Z20</f>
        <v>6326620027156.6719</v>
      </c>
      <c r="AA6" s="21">
        <f>'Income &amp; Cash Flow'!AA20</f>
        <v>7235597159558.4043</v>
      </c>
      <c r="AB6" s="21">
        <f>'Income &amp; Cash Flow'!AB20</f>
        <v>8275171581457.959</v>
      </c>
      <c r="AC6" s="21">
        <f>'Income &amp; Cash Flow'!AC20</f>
        <v>9464106858423.9316</v>
      </c>
      <c r="AD6" s="21">
        <f>'Income &amp; Cash Flow'!AD20</f>
        <v>10823862411307.99</v>
      </c>
      <c r="AE6" s="21">
        <f>'Income &amp; Cash Flow'!AE20</f>
        <v>12378980843252.664</v>
      </c>
      <c r="AF6" s="21">
        <f>'Income &amp; Cash Flow'!AF20</f>
        <v>14157530915906.988</v>
      </c>
      <c r="AG6" s="21">
        <f>'Income &amp; Cash Flow'!AG20</f>
        <v>16191614170249.924</v>
      </c>
    </row>
    <row r="7" spans="1:33" ht="18" customHeight="1" x14ac:dyDescent="0.45">
      <c r="A7" s="17" t="s">
        <v>116</v>
      </c>
      <c r="B7" s="21">
        <f>'Income &amp; Cash Flow'!B24</f>
        <v>0</v>
      </c>
      <c r="C7" s="21">
        <f>'Income &amp; Cash Flow'!C24</f>
        <v>0</v>
      </c>
      <c r="D7" s="21">
        <f>'Income &amp; Cash Flow'!D24</f>
        <v>41666666666.666664</v>
      </c>
      <c r="E7" s="21">
        <f>'Income &amp; Cash Flow'!E24</f>
        <v>41666666666.666664</v>
      </c>
      <c r="F7" s="21">
        <f>'Income &amp; Cash Flow'!F24</f>
        <v>41666666666.666664</v>
      </c>
      <c r="G7" s="21">
        <f>'Income &amp; Cash Flow'!G24</f>
        <v>41666666666.666664</v>
      </c>
      <c r="H7" s="21">
        <f>'Income &amp; Cash Flow'!H24</f>
        <v>41666666666.666664</v>
      </c>
      <c r="I7" s="21">
        <f>'Income &amp; Cash Flow'!I24</f>
        <v>41666666666.666664</v>
      </c>
      <c r="J7" s="21">
        <f>'Income &amp; Cash Flow'!J24</f>
        <v>41666666666.666664</v>
      </c>
      <c r="K7" s="21">
        <f>'Income &amp; Cash Flow'!K24</f>
        <v>41666666666.666664</v>
      </c>
      <c r="L7" s="21">
        <f>'Income &amp; Cash Flow'!L24</f>
        <v>41666666666.666664</v>
      </c>
      <c r="M7" s="21">
        <f>'Income &amp; Cash Flow'!M24</f>
        <v>41666666666.666664</v>
      </c>
      <c r="N7" s="21">
        <f>'Income &amp; Cash Flow'!N24</f>
        <v>41666666666.666664</v>
      </c>
      <c r="O7" s="21">
        <f>'Income &amp; Cash Flow'!O24</f>
        <v>41666666666.666664</v>
      </c>
      <c r="P7" s="21">
        <f>'Income &amp; Cash Flow'!P24</f>
        <v>41666666666.666664</v>
      </c>
      <c r="Q7" s="21">
        <f>'Income &amp; Cash Flow'!Q24</f>
        <v>41666666666.666664</v>
      </c>
      <c r="R7" s="21">
        <f>'Income &amp; Cash Flow'!R24</f>
        <v>41666666666.666664</v>
      </c>
      <c r="S7" s="21">
        <f>'Income &amp; Cash Flow'!S24</f>
        <v>41666666666.666664</v>
      </c>
      <c r="T7" s="21">
        <f>'Income &amp; Cash Flow'!T24</f>
        <v>41666666666.666664</v>
      </c>
      <c r="U7" s="21">
        <f>'Income &amp; Cash Flow'!U24</f>
        <v>41666666666.666664</v>
      </c>
      <c r="V7" s="21">
        <f>'Income &amp; Cash Flow'!V24</f>
        <v>41666666666.666664</v>
      </c>
      <c r="W7" s="21">
        <f>'Income &amp; Cash Flow'!W24</f>
        <v>41666666666.666664</v>
      </c>
      <c r="X7" s="21">
        <f>'Income &amp; Cash Flow'!X24</f>
        <v>41666666666.666664</v>
      </c>
      <c r="Y7" s="21">
        <f>'Income &amp; Cash Flow'!Y24</f>
        <v>41666666666.666664</v>
      </c>
      <c r="Z7" s="21">
        <f>'Income &amp; Cash Flow'!Z24</f>
        <v>41666666666.666664</v>
      </c>
      <c r="AA7" s="21">
        <f>'Income &amp; Cash Flow'!AA24</f>
        <v>41666666666.666664</v>
      </c>
      <c r="AB7" s="21">
        <f>'Income &amp; Cash Flow'!AB24</f>
        <v>41666666666.666664</v>
      </c>
      <c r="AC7" s="21">
        <f>'Income &amp; Cash Flow'!AC24</f>
        <v>41666666666.666664</v>
      </c>
      <c r="AD7" s="21">
        <f>'Income &amp; Cash Flow'!AD24</f>
        <v>41666666666.666664</v>
      </c>
      <c r="AE7" s="21">
        <f>'Income &amp; Cash Flow'!AE24</f>
        <v>41666666666.666664</v>
      </c>
      <c r="AF7" s="21">
        <f>'Income &amp; Cash Flow'!AF24</f>
        <v>41666666666.666664</v>
      </c>
      <c r="AG7" s="21">
        <f>'Income &amp; Cash Flow'!AG24</f>
        <v>41666666666.666664</v>
      </c>
    </row>
    <row r="8" spans="1:33" ht="18" customHeight="1" x14ac:dyDescent="0.45">
      <c r="A8" s="17" t="s">
        <v>117</v>
      </c>
      <c r="B8" s="21">
        <f>'Income &amp; Cash Flow'!B25</f>
        <v>0</v>
      </c>
      <c r="C8" s="21">
        <f>'Income &amp; Cash Flow'!C25</f>
        <v>0</v>
      </c>
      <c r="D8" s="21">
        <f>'Income &amp; Cash Flow'!D25</f>
        <v>178333333333.33334</v>
      </c>
      <c r="E8" s="21">
        <f>'Income &amp; Cash Flow'!E25</f>
        <v>209941833333.33334</v>
      </c>
      <c r="F8" s="21">
        <f>'Income &amp; Cash Flow'!F25</f>
        <v>246091684570.83334</v>
      </c>
      <c r="G8" s="21">
        <f>'Income &amp; Cash Flow'!G25</f>
        <v>287435365684.8811</v>
      </c>
      <c r="H8" s="21">
        <f>'Income &amp; Cash Flow'!H25</f>
        <v>334719100182.98981</v>
      </c>
      <c r="I8" s="21">
        <f>'Income &amp; Cash Flow'!I25</f>
        <v>388796325235.11414</v>
      </c>
      <c r="J8" s="21">
        <f>'Income &amp; Cash Flow'!J25</f>
        <v>450643095596.60248</v>
      </c>
      <c r="K8" s="21">
        <f>'Income &amp; Cash Flow'!K25</f>
        <v>521375700689.77765</v>
      </c>
      <c r="L8" s="21">
        <f>'Income &amp; Cash Flow'!L25</f>
        <v>602270812819.71484</v>
      </c>
      <c r="M8" s="21">
        <f>'Income &amp; Cash Flow'!M25</f>
        <v>694788530184.92065</v>
      </c>
      <c r="N8" s="21">
        <f>'Income &amp; Cash Flow'!N25</f>
        <v>800598730592.57251</v>
      </c>
      <c r="O8" s="21">
        <f>'Income &amp; Cash Flow'!O25</f>
        <v>921611211543.79358</v>
      </c>
      <c r="P8" s="21">
        <f>'Income &amp; Cash Flow'!P25</f>
        <v>1060010160695.6813</v>
      </c>
      <c r="Q8" s="21">
        <f>'Income &amp; Cash Flow'!Q25</f>
        <v>1218293578866.9663</v>
      </c>
      <c r="R8" s="21">
        <f>'Income &amp; Cash Flow'!R25</f>
        <v>1399318367144.011</v>
      </c>
      <c r="S8" s="21">
        <f>'Income &amp; Cash Flow'!S25</f>
        <v>1606351891876.76</v>
      </c>
      <c r="T8" s="21">
        <f>'Income &amp; Cash Flow'!T25</f>
        <v>1843130958275.4866</v>
      </c>
      <c r="U8" s="21">
        <f>'Income &amp; Cash Flow'!U25</f>
        <v>2113929257039.0498</v>
      </c>
      <c r="V8" s="21">
        <f>'Income &amp; Cash Flow'!V25</f>
        <v>2423634501377.4688</v>
      </c>
      <c r="W8" s="21">
        <f>'Income &amp; Cash Flow'!W25</f>
        <v>2777836646696.2104</v>
      </c>
      <c r="X8" s="21">
        <f>'Income &amp; Cash Flow'!X25</f>
        <v>3182928785243.6206</v>
      </c>
      <c r="Y8" s="21">
        <f>'Income &amp; Cash Flow'!Y25</f>
        <v>3646222536796.8306</v>
      </c>
      <c r="Z8" s="21">
        <f>'Income &amp; Cash Flow'!Z25</f>
        <v>4176080018104.4487</v>
      </c>
      <c r="AA8" s="21">
        <f>'Income &amp; Cash Flow'!AA25</f>
        <v>4782064773038.9375</v>
      </c>
      <c r="AB8" s="21">
        <f>'Income &amp; Cash Flow'!AB25</f>
        <v>5475114387638.6396</v>
      </c>
      <c r="AC8" s="21">
        <f>'Income &amp; Cash Flow'!AC25</f>
        <v>6267737905615.9541</v>
      </c>
      <c r="AD8" s="21">
        <f>'Income &amp; Cash Flow'!AD25</f>
        <v>7174241607538.6602</v>
      </c>
      <c r="AE8" s="21">
        <f>'Income &amp; Cash Flow'!AE25</f>
        <v>8210987228835.1104</v>
      </c>
      <c r="AF8" s="21">
        <f>'Income &amp; Cash Flow'!AF25</f>
        <v>9396687277271.3262</v>
      </c>
      <c r="AG8" s="21">
        <f>'Income &amp; Cash Flow'!AG25</f>
        <v>10752742780166.617</v>
      </c>
    </row>
    <row r="9" spans="1:33" ht="18" customHeight="1" x14ac:dyDescent="0.45">
      <c r="A9" s="17" t="s">
        <v>174</v>
      </c>
      <c r="B9" s="25">
        <f>'Income &amp; Cash Flow'!B12</f>
        <v>0</v>
      </c>
      <c r="C9" s="25">
        <f>'Income &amp; Cash Flow'!C12</f>
        <v>0</v>
      </c>
      <c r="D9" s="25">
        <f>'Income &amp; Cash Flow'!D12</f>
        <v>55000</v>
      </c>
      <c r="E9" s="25">
        <f>'Income &amp; Cash Flow'!E12</f>
        <v>60775</v>
      </c>
      <c r="F9" s="25">
        <f>'Income &amp; Cash Flow'!F12</f>
        <v>67156.375</v>
      </c>
      <c r="G9" s="25">
        <f>'Income &amp; Cash Flow'!G12</f>
        <v>74207.794374999998</v>
      </c>
      <c r="H9" s="25">
        <f>'Income &amp; Cash Flow'!H12</f>
        <v>81999.612784375</v>
      </c>
      <c r="I9" s="25">
        <f>'Income &amp; Cash Flow'!I12</f>
        <v>90609.572126734376</v>
      </c>
      <c r="J9" s="25">
        <f>'Income &amp; Cash Flow'!J12</f>
        <v>100123.57720004149</v>
      </c>
      <c r="K9" s="25">
        <f>'Income &amp; Cash Flow'!K12</f>
        <v>110636.55280604585</v>
      </c>
      <c r="L9" s="25">
        <f>'Income &amp; Cash Flow'!L12</f>
        <v>122253.39085068066</v>
      </c>
      <c r="M9" s="25">
        <f>'Income &amp; Cash Flow'!M12</f>
        <v>135089.99689000213</v>
      </c>
      <c r="N9" s="25">
        <f>'Income &amp; Cash Flow'!N12</f>
        <v>149274.44656345237</v>
      </c>
      <c r="O9" s="25">
        <f>'Income &amp; Cash Flow'!O12</f>
        <v>164948.26345261486</v>
      </c>
      <c r="P9" s="25">
        <f>'Income &amp; Cash Flow'!P12</f>
        <v>182267.83111513942</v>
      </c>
      <c r="Q9" s="25">
        <f>'Income &amp; Cash Flow'!Q12</f>
        <v>201405.95338222905</v>
      </c>
      <c r="R9" s="25">
        <f>'Income &amp; Cash Flow'!R12</f>
        <v>222553.57848736309</v>
      </c>
      <c r="S9" s="25">
        <f>'Income &amp; Cash Flow'!S12</f>
        <v>245921.70422853623</v>
      </c>
      <c r="T9" s="25">
        <f>'Income &amp; Cash Flow'!T12</f>
        <v>271743.48317253252</v>
      </c>
      <c r="U9" s="25">
        <f>'Income &amp; Cash Flow'!U12</f>
        <v>300276.54890564841</v>
      </c>
      <c r="V9" s="25">
        <f>'Income &amp; Cash Flow'!V12</f>
        <v>331805.5865407415</v>
      </c>
      <c r="W9" s="25">
        <f>'Income &amp; Cash Flow'!W12</f>
        <v>366645.17312751937</v>
      </c>
      <c r="X9" s="25">
        <f>'Income &amp; Cash Flow'!X12</f>
        <v>405142.91630590888</v>
      </c>
      <c r="Y9" s="25">
        <f>'Income &amp; Cash Flow'!Y12</f>
        <v>447682.92251802929</v>
      </c>
      <c r="Z9" s="25">
        <f>'Income &amp; Cash Flow'!Z12</f>
        <v>494689.62938242237</v>
      </c>
      <c r="AA9" s="25">
        <f>'Income &amp; Cash Flow'!AA12</f>
        <v>546632.04046757671</v>
      </c>
      <c r="AB9" s="25">
        <f>'Income &amp; Cash Flow'!AB12</f>
        <v>604028.40471667226</v>
      </c>
      <c r="AC9" s="25">
        <f>'Income &amp; Cash Flow'!AC12</f>
        <v>667451.38721192279</v>
      </c>
      <c r="AD9" s="25">
        <f>'Income &amp; Cash Flow'!AD12</f>
        <v>737533.78286917473</v>
      </c>
      <c r="AE9" s="25">
        <f>'Income &amp; Cash Flow'!AE12</f>
        <v>814974.8300704381</v>
      </c>
      <c r="AF9" s="25">
        <f>'Income &amp; Cash Flow'!AF12</f>
        <v>900547.18722783413</v>
      </c>
      <c r="AG9" s="25">
        <f>'Income &amp; Cash Flow'!AG12</f>
        <v>995104.64188675676</v>
      </c>
    </row>
    <row r="10" spans="1:33" ht="18" customHeight="1" x14ac:dyDescent="0.45">
      <c r="A10" s="17" t="s">
        <v>175</v>
      </c>
      <c r="B10" s="21">
        <f>'Income &amp; Cash Flow'!B11</f>
        <v>0</v>
      </c>
      <c r="C10" s="21">
        <f>'Income &amp; Cash Flow'!C11</f>
        <v>0</v>
      </c>
      <c r="D10" s="21">
        <f>'Income &amp; Cash Flow'!D11</f>
        <v>10000000</v>
      </c>
      <c r="E10" s="21">
        <f>'Income &amp; Cash Flow'!E11</f>
        <v>10350000</v>
      </c>
      <c r="F10" s="21">
        <f>'Income &amp; Cash Flow'!F11</f>
        <v>10712250</v>
      </c>
      <c r="G10" s="21">
        <f>'Income &amp; Cash Flow'!G11</f>
        <v>11087178.75</v>
      </c>
      <c r="H10" s="21">
        <f>'Income &amp; Cash Flow'!H11</f>
        <v>11475230.00625</v>
      </c>
      <c r="I10" s="21">
        <f>'Income &amp; Cash Flow'!I11</f>
        <v>11876863.056468749</v>
      </c>
      <c r="J10" s="21">
        <f>'Income &amp; Cash Flow'!J11</f>
        <v>12292553.263445154</v>
      </c>
      <c r="K10" s="21">
        <f>'Income &amp; Cash Flow'!K11</f>
        <v>12722792.627665734</v>
      </c>
      <c r="L10" s="21">
        <f>'Income &amp; Cash Flow'!L11</f>
        <v>13168090.369634034</v>
      </c>
      <c r="M10" s="21">
        <f>'Income &amp; Cash Flow'!M11</f>
        <v>13628973.532571224</v>
      </c>
      <c r="N10" s="21">
        <f>'Income &amp; Cash Flow'!N11</f>
        <v>14105987.606211217</v>
      </c>
      <c r="O10" s="21">
        <f>'Income &amp; Cash Flow'!O11</f>
        <v>14599697.172428608</v>
      </c>
      <c r="P10" s="21">
        <f>'Income &amp; Cash Flow'!P11</f>
        <v>15110686.573463608</v>
      </c>
      <c r="Q10" s="21">
        <f>'Income &amp; Cash Flow'!Q11</f>
        <v>15639560.603534833</v>
      </c>
      <c r="R10" s="21">
        <f>'Income &amp; Cash Flow'!R11</f>
        <v>16186945.224658551</v>
      </c>
      <c r="S10" s="21">
        <f>'Income &amp; Cash Flow'!S11</f>
        <v>16753488.307521598</v>
      </c>
      <c r="T10" s="21">
        <f>'Income &amp; Cash Flow'!T11</f>
        <v>17339860.398284853</v>
      </c>
      <c r="U10" s="21">
        <f>'Income &amp; Cash Flow'!U11</f>
        <v>17946755.51222482</v>
      </c>
      <c r="V10" s="21">
        <f>'Income &amp; Cash Flow'!V11</f>
        <v>18574891.955152687</v>
      </c>
      <c r="W10" s="21">
        <f>'Income &amp; Cash Flow'!W11</f>
        <v>19225013.173583031</v>
      </c>
      <c r="X10" s="21">
        <f>'Income &amp; Cash Flow'!X11</f>
        <v>19897888.634658433</v>
      </c>
      <c r="Y10" s="21">
        <f>'Income &amp; Cash Flow'!Y11</f>
        <v>20594314.736871477</v>
      </c>
      <c r="Z10" s="21">
        <f>'Income &amp; Cash Flow'!Z11</f>
        <v>21315115.752661977</v>
      </c>
      <c r="AA10" s="21">
        <f>'Income &amp; Cash Flow'!AA11</f>
        <v>22061144.804005146</v>
      </c>
      <c r="AB10" s="21">
        <f>'Income &amp; Cash Flow'!AB11</f>
        <v>22833284.872145325</v>
      </c>
      <c r="AC10" s="21">
        <f>'Income &amp; Cash Flow'!AC11</f>
        <v>23632449.842670411</v>
      </c>
      <c r="AD10" s="21">
        <f>'Income &amp; Cash Flow'!AD11</f>
        <v>24459585.587163873</v>
      </c>
      <c r="AE10" s="21">
        <f>'Income &amp; Cash Flow'!AE11</f>
        <v>25315671.082714606</v>
      </c>
      <c r="AF10" s="21">
        <f>'Income &amp; Cash Flow'!AF11</f>
        <v>26201719.570609614</v>
      </c>
      <c r="AG10" s="21">
        <f>'Income &amp; Cash Flow'!AG11</f>
        <v>27118779.755580947</v>
      </c>
    </row>
    <row r="11" spans="1:33" ht="18" customHeight="1" x14ac:dyDescent="0.45">
      <c r="A11" s="33" t="s">
        <v>176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 spans="1:33" ht="18" customHeight="1" x14ac:dyDescent="0.45">
      <c r="A12" s="17" t="s">
        <v>177</v>
      </c>
      <c r="B12" s="6"/>
      <c r="C12" s="6"/>
      <c r="D12" s="6">
        <f>IF('Income &amp; Cash Flow'!D12=0,0,'Income &amp; Cash Flow'!D19/'Income &amp; Cash Flow'!D12)</f>
        <v>3909090.9090909092</v>
      </c>
      <c r="E12" s="6">
        <f>IF('Income &amp; Cash Flow'!E12=0,0,'Income &amp; Cash Flow'!E19/'Income &amp; Cash Flow'!E12)</f>
        <v>4251546.6886055125</v>
      </c>
      <c r="F12" s="6">
        <f>IF('Income &amp; Cash Flow'!F12=0,0,'Income &amp; Cash Flow'!F19/'Income &amp; Cash Flow'!F12)</f>
        <v>4592961.6042594612</v>
      </c>
      <c r="G12" s="6">
        <f>IF('Income &amp; Cash Flow'!G12=0,0,'Income &amp; Cash Flow'!G19/'Income &amp; Cash Flow'!G12)</f>
        <v>4934124.4539896324</v>
      </c>
      <c r="H12" s="6">
        <f>IF('Income &amp; Cash Flow'!H12=0,0,'Income &amp; Cash Flow'!H19/'Income &amp; Cash Flow'!H12)</f>
        <v>5275799.3667629128</v>
      </c>
      <c r="I12" s="6">
        <f>IF('Income &amp; Cash Flow'!I12=0,0,'Income &amp; Cash Flow'!I19/'Income &amp; Cash Flow'!I12)</f>
        <v>5618728.2508209459</v>
      </c>
      <c r="J12" s="6">
        <f>IF('Income &amp; Cash Flow'!J12=0,0,'Income &amp; Cash Flow'!J19/'Income &amp; Cash Flow'!J12)</f>
        <v>5963633.117825089</v>
      </c>
      <c r="K12" s="6">
        <f>IF('Income &amp; Cash Flow'!K12=0,0,'Income &amp; Cash Flow'!K19/'Income &amp; Cash Flow'!K12)</f>
        <v>6311218.2918478819</v>
      </c>
      <c r="L12" s="6">
        <f>IF('Income &amp; Cash Flow'!L12=0,0,'Income &amp; Cash Flow'!L19/'Income &amp; Cash Flow'!L12)</f>
        <v>6662172.5116285086</v>
      </c>
      <c r="M12" s="6">
        <f>IF('Income &amp; Cash Flow'!M12=0,0,'Income &amp; Cash Flow'!M19/'Income &amp; Cash Flow'!M12)</f>
        <v>7017170.93401583</v>
      </c>
      <c r="N12" s="6">
        <f>IF('Income &amp; Cash Flow'!N12=0,0,'Income &amp; Cash Flow'!N19/'Income &amp; Cash Flow'!N12)</f>
        <v>7376877.0460612588</v>
      </c>
      <c r="O12" s="6">
        <f>IF('Income &amp; Cash Flow'!O12=0,0,'Income &amp; Cash Flow'!O19/'Income &amp; Cash Flow'!O12)</f>
        <v>7741944.492793126</v>
      </c>
      <c r="P12" s="6">
        <f>IF('Income &amp; Cash Flow'!P12=0,0,'Income &amp; Cash Flow'!P19/'Income &amp; Cash Flow'!P12)</f>
        <v>8113018.827302346</v>
      </c>
      <c r="Q12" s="6">
        <f>IF('Income &amp; Cash Flow'!Q12=0,0,'Income &amp; Cash Flow'!Q19/'Income &amp; Cash Flow'!Q12)</f>
        <v>8490739.1893942282</v>
      </c>
      <c r="R12" s="6">
        <f>IF('Income &amp; Cash Flow'!R12=0,0,'Income &amp; Cash Flow'!R19/'Income &amp; Cash Flow'!R12)</f>
        <v>8875739.9187117759</v>
      </c>
      <c r="S12" s="6">
        <f>IF('Income &amp; Cash Flow'!S12=0,0,'Income &amp; Cash Flow'!S19/'Income &amp; Cash Flow'!S12)</f>
        <v>9268652.1079099998</v>
      </c>
      <c r="T12" s="6">
        <f>IF('Income &amp; Cash Flow'!T12=0,0,'Income &amp; Cash Flow'!T19/'Income &amp; Cash Flow'!T12)</f>
        <v>9670105.1011572778</v>
      </c>
      <c r="U12" s="6">
        <f>IF('Income &amp; Cash Flow'!U12=0,0,'Income &amp; Cash Flow'!U19/'Income &amp; Cash Flow'!U12)</f>
        <v>10080727.942957416</v>
      </c>
      <c r="V12" s="6">
        <f>IF('Income &amp; Cash Flow'!V12=0,0,'Income &amp; Cash Flow'!V19/'Income &amp; Cash Flow'!V12)</f>
        <v>10501150.782023117</v>
      </c>
      <c r="W12" s="6">
        <f>IF('Income &amp; Cash Flow'!W12=0,0,'Income &amp; Cash Flow'!W19/'Income &amp; Cash Flow'!W12)</f>
        <v>10932006.234687474</v>
      </c>
      <c r="X12" s="6">
        <f>IF('Income &amp; Cash Flow'!X12=0,0,'Income &amp; Cash Flow'!X19/'Income &amp; Cash Flow'!X12)</f>
        <v>11373930.712113133</v>
      </c>
      <c r="Y12" s="6">
        <f>IF('Income &amp; Cash Flow'!Y12=0,0,'Income &amp; Cash Flow'!Y19/'Income &amp; Cash Flow'!Y12)</f>
        <v>11827565.715348413</v>
      </c>
      <c r="Z12" s="6">
        <f>IF('Income &amp; Cash Flow'!Z12=0,0,'Income &amp; Cash Flow'!Z19/'Income &amp; Cash Flow'!Z12)</f>
        <v>12293559.102084445</v>
      </c>
      <c r="AA12" s="6">
        <f>IF('Income &amp; Cash Flow'!AA12=0,0,'Income &amp; Cash Flow'!AA19/'Income &amp; Cash Flow'!AA12)</f>
        <v>12772566.328787077</v>
      </c>
      <c r="AB12" s="6">
        <f>IF('Income &amp; Cash Flow'!AB12=0,0,'Income &amp; Cash Flow'!AB19/'Income &amp; Cash Flow'!AB12)</f>
        <v>13265251.67171021</v>
      </c>
      <c r="AC12" s="6">
        <f>IF('Income &amp; Cash Flow'!AC12=0,0,'Income &amp; Cash Flow'!AC19/'Income &amp; Cash Flow'!AC12)</f>
        <v>13772289.430143263</v>
      </c>
      <c r="AD12" s="6">
        <f>IF('Income &amp; Cash Flow'!AD12=0,0,'Income &amp; Cash Flow'!AD19/'Income &amp; Cash Flow'!AD12)</f>
        <v>14294365.11510371</v>
      </c>
      <c r="AE12" s="6">
        <f>IF('Income &amp; Cash Flow'!AE12=0,0,'Income &amp; Cash Flow'!AE19/'Income &amp; Cash Flow'!AE12)</f>
        <v>14832176.626555074</v>
      </c>
      <c r="AF12" s="6">
        <f>IF('Income &amp; Cash Flow'!AF12=0,0,'Income &amp; Cash Flow'!AF19/'Income &amp; Cash Flow'!AF12)</f>
        <v>15386435.422111228</v>
      </c>
      <c r="AG12" s="6">
        <f>IF('Income &amp; Cash Flow'!AG12=0,0,'Income &amp; Cash Flow'!AG19/'Income &amp; Cash Flow'!AG12)</f>
        <v>15957867.680078477</v>
      </c>
    </row>
    <row r="13" spans="1:33" ht="18" customHeight="1" x14ac:dyDescent="0.45">
      <c r="A13" s="17" t="s">
        <v>178</v>
      </c>
      <c r="B13" s="6"/>
      <c r="C13" s="6"/>
      <c r="D13" s="6">
        <f>'Income &amp; Cash Flow'!D11-D12</f>
        <v>6090909.0909090908</v>
      </c>
      <c r="E13" s="6">
        <f>'Income &amp; Cash Flow'!E11-E12</f>
        <v>6098453.3113944875</v>
      </c>
      <c r="F13" s="6">
        <f>'Income &amp; Cash Flow'!F11-F12</f>
        <v>6119288.3957405388</v>
      </c>
      <c r="G13" s="6">
        <f>'Income &amp; Cash Flow'!G11-G12</f>
        <v>6153054.2960103676</v>
      </c>
      <c r="H13" s="6">
        <f>'Income &amp; Cash Flow'!H11-H12</f>
        <v>6199430.6394870868</v>
      </c>
      <c r="I13" s="6">
        <f>'Income &amp; Cash Flow'!I11-I12</f>
        <v>6258134.8056478035</v>
      </c>
      <c r="J13" s="6">
        <f>'Income &amp; Cash Flow'!J11-J12</f>
        <v>6328920.1456200648</v>
      </c>
      <c r="K13" s="6">
        <f>'Income &amp; Cash Flow'!K11-K12</f>
        <v>6411574.3358178521</v>
      </c>
      <c r="L13" s="6">
        <f>'Income &amp; Cash Flow'!L11-L12</f>
        <v>6505917.8580055255</v>
      </c>
      <c r="M13" s="6">
        <f>'Income &amp; Cash Flow'!M11-M12</f>
        <v>6611802.5985553944</v>
      </c>
      <c r="N13" s="6">
        <f>'Income &amp; Cash Flow'!N11-N12</f>
        <v>6729110.5601499584</v>
      </c>
      <c r="O13" s="6">
        <f>'Income &amp; Cash Flow'!O11-O12</f>
        <v>6857752.6796354819</v>
      </c>
      <c r="P13" s="6">
        <f>'Income &amp; Cash Flow'!P11-P12</f>
        <v>6997667.7461612616</v>
      </c>
      <c r="Q13" s="6">
        <f>'Income &amp; Cash Flow'!Q11-Q12</f>
        <v>7148821.4141406044</v>
      </c>
      <c r="R13" s="6">
        <f>'Income &amp; Cash Flow'!R11-R12</f>
        <v>7311205.3059467748</v>
      </c>
      <c r="S13" s="6">
        <f>'Income &amp; Cash Flow'!S11-S12</f>
        <v>7484836.1996115986</v>
      </c>
      <c r="T13" s="6">
        <f>'Income &amp; Cash Flow'!T11-T12</f>
        <v>7669755.2971275747</v>
      </c>
      <c r="U13" s="6">
        <f>'Income &amp; Cash Flow'!U11-U12</f>
        <v>7866027.5692674033</v>
      </c>
      <c r="V13" s="6">
        <f>'Income &amp; Cash Flow'!V11-V12</f>
        <v>8073741.1731295697</v>
      </c>
      <c r="W13" s="6">
        <f>'Income &amp; Cash Flow'!W11-W12</f>
        <v>8293006.9388955571</v>
      </c>
      <c r="X13" s="6">
        <f>'Income &amp; Cash Flow'!X11-X12</f>
        <v>8523957.9225453008</v>
      </c>
      <c r="Y13" s="6">
        <f>'Income &amp; Cash Flow'!Y11-Y12</f>
        <v>8766749.021523064</v>
      </c>
      <c r="Z13" s="6">
        <f>'Income &amp; Cash Flow'!Z11-Z12</f>
        <v>9021556.6505775321</v>
      </c>
      <c r="AA13" s="6">
        <f>'Income &amp; Cash Flow'!AA11-AA12</f>
        <v>9288578.4752180688</v>
      </c>
      <c r="AB13" s="6">
        <f>'Income &amp; Cash Flow'!AB11-AB12</f>
        <v>9568033.200435115</v>
      </c>
      <c r="AC13" s="6">
        <f>'Income &amp; Cash Flow'!AC11-AC12</f>
        <v>9860160.4125271477</v>
      </c>
      <c r="AD13" s="6">
        <f>'Income &amp; Cash Flow'!AD11-AD12</f>
        <v>10165220.472060163</v>
      </c>
      <c r="AE13" s="6">
        <f>'Income &amp; Cash Flow'!AE11-AE12</f>
        <v>10483494.456159532</v>
      </c>
      <c r="AF13" s="6">
        <f>'Income &amp; Cash Flow'!AF11-AF12</f>
        <v>10815284.148498386</v>
      </c>
      <c r="AG13" s="6">
        <f>'Income &amp; Cash Flow'!AG11-AG12</f>
        <v>11160912.07550247</v>
      </c>
    </row>
    <row r="14" spans="1:33" ht="18" customHeight="1" x14ac:dyDescent="0.45"/>
    <row r="15" spans="1:33" ht="18" customHeight="1" x14ac:dyDescent="0.45">
      <c r="A15" s="33" t="s">
        <v>208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1:33" ht="18" customHeight="1" x14ac:dyDescent="0.45">
      <c r="A16" s="26" t="s">
        <v>179</v>
      </c>
      <c r="B16" s="27"/>
      <c r="C16" s="27"/>
      <c r="D16" s="28">
        <f>IF(D13=0,0,('Income &amp; Cash Flow'!D18+'Income &amp; Cash Flow'!D24)/D13)</f>
        <v>25721.393034825869</v>
      </c>
      <c r="E16" s="28">
        <f>IF(E13=0,0,('Income &amp; Cash Flow'!E18+'Income &amp; Cash Flow'!E24)/E13)</f>
        <v>26349.577255338943</v>
      </c>
      <c r="F16" s="28">
        <f>IF(F13=0,0,('Income &amp; Cash Flow'!F18+'Income &amp; Cash Flow'!F24)/F13)</f>
        <v>26940.63933666196</v>
      </c>
      <c r="G16" s="28">
        <f>IF(G13=0,0,('Income &amp; Cash Flow'!G18+'Income &amp; Cash Flow'!G24)/G13)</f>
        <v>27493.536405384191</v>
      </c>
      <c r="H16" s="28">
        <f>IF(H13=0,0,('Income &amp; Cash Flow'!H18+'Income &amp; Cash Flow'!H24)/H13)</f>
        <v>28007.702938492286</v>
      </c>
      <c r="I16" s="28">
        <f>IF(I13=0,0,('Income &amp; Cash Flow'!I18+'Income &amp; Cash Flow'!I24)/I13)</f>
        <v>28483.022074754721</v>
      </c>
      <c r="J16" s="28">
        <f>IF(J13=0,0,('Income &amp; Cash Flow'!J18+'Income &amp; Cash Flow'!J24)/J13)</f>
        <v>28919.788049933391</v>
      </c>
      <c r="K16" s="28">
        <f>IF(K13=0,0,('Income &amp; Cash Flow'!K18+'Income &amp; Cash Flow'!K24)/K13)</f>
        <v>29318.662163002777</v>
      </c>
      <c r="L16" s="28">
        <f>IF(L13=0,0,('Income &amp; Cash Flow'!L18+'Income &amp; Cash Flow'!L24)/L13)</f>
        <v>29680.624645429383</v>
      </c>
      <c r="M16" s="28">
        <f>IF(M13=0,0,('Income &amp; Cash Flow'!M18+'Income &amp; Cash Flow'!M24)/M13)</f>
        <v>30006.924637251541</v>
      </c>
      <c r="N16" s="28">
        <f>IF(N13=0,0,('Income &amp; Cash Flow'!N18+'Income &amp; Cash Flow'!N24)/N13)</f>
        <v>30299.030208466647</v>
      </c>
      <c r="O16" s="28">
        <f>IF(O13=0,0,('Income &amp; Cash Flow'!O18+'Income &amp; Cash Flow'!O24)/O13)</f>
        <v>30558.580039187804</v>
      </c>
      <c r="P16" s="28">
        <f>IF(P13=0,0,('Income &amp; Cash Flow'!P18+'Income &amp; Cash Flow'!P24)/P13)</f>
        <v>30787.338021254662</v>
      </c>
      <c r="Q16" s="28">
        <f>IF(Q13=0,0,('Income &amp; Cash Flow'!Q18+'Income &amp; Cash Flow'!Q24)/Q13)</f>
        <v>30987.151695962086</v>
      </c>
      <c r="R16" s="28">
        <f>IF(R13=0,0,('Income &amp; Cash Flow'!R18+'Income &amp; Cash Flow'!R24)/R13)</f>
        <v>31159.915118911907</v>
      </c>
      <c r="S16" s="28">
        <f>IF(S13=0,0,('Income &amp; Cash Flow'!S18+'Income &amp; Cash Flow'!S24)/S13)</f>
        <v>31307.536458222668</v>
      </c>
      <c r="T16" s="28">
        <f>IF(T13=0,0,('Income &amp; Cash Flow'!T18+'Income &amp; Cash Flow'!T24)/T13)</f>
        <v>31431.910394485229</v>
      </c>
      <c r="U16" s="28">
        <f>IF(U13=0,0,('Income &amp; Cash Flow'!U18+'Income &amp; Cash Flow'!U24)/U13)</f>
        <v>31534.89520255449</v>
      </c>
      <c r="V16" s="28">
        <f>IF(V13=0,0,('Income &amp; Cash Flow'!V18+'Income &amp; Cash Flow'!V24)/V13)</f>
        <v>31618.294255025121</v>
      </c>
      <c r="W16" s="28">
        <f>IF(W13=0,0,('Income &amp; Cash Flow'!W18+'Income &amp; Cash Flow'!W24)/W13)</f>
        <v>31683.84159073963</v>
      </c>
      <c r="X16" s="28">
        <f>IF(X13=0,0,('Income &amp; Cash Flow'!X18+'Income &amp; Cash Flow'!X24)/X13)</f>
        <v>31733.191132936521</v>
      </c>
      <c r="Y16" s="28">
        <f>IF(Y13=0,0,('Income &amp; Cash Flow'!Y18+'Income &amp; Cash Flow'!Y24)/Y13)</f>
        <v>31767.909113965263</v>
      </c>
      <c r="Z16" s="28">
        <f>IF(Z13=0,0,('Income &amp; Cash Flow'!Z18+'Income &amp; Cash Flow'!Z24)/Z13)</f>
        <v>31789.469260154779</v>
      </c>
      <c r="AA16" s="28">
        <f>IF(AA13=0,0,('Income &amp; Cash Flow'!AA18+'Income &amp; Cash Flow'!AA24)/AA13)</f>
        <v>31799.25030517561</v>
      </c>
      <c r="AB16" s="28">
        <f>IF(AB13=0,0,('Income &amp; Cash Flow'!AB18+'Income &amp; Cash Flow'!AB24)/AB13)</f>
        <v>31798.5354275842</v>
      </c>
      <c r="AC16" s="28">
        <f>IF(AC13=0,0,('Income &amp; Cash Flow'!AC18+'Income &amp; Cash Flow'!AC24)/AC13)</f>
        <v>31788.513243573288</v>
      </c>
      <c r="AD16" s="28">
        <f>IF(AD13=0,0,('Income &amp; Cash Flow'!AD18+'Income &amp; Cash Flow'!AD24)/AD13)</f>
        <v>31770.280025574222</v>
      </c>
      <c r="AE16" s="28">
        <f>IF(AE13=0,0,('Income &amp; Cash Flow'!AE18+'Income &amp; Cash Flow'!AE24)/AE13)</f>
        <v>31744.842858418378</v>
      </c>
      <c r="AF16" s="28">
        <f>IF(AF13=0,0,('Income &amp; Cash Flow'!AF18+'Income &amp; Cash Flow'!AF24)/AF13)</f>
        <v>31713.123485183518</v>
      </c>
      <c r="AG16" s="28">
        <f>IF(AG13=0,0,('Income &amp; Cash Flow'!AG18+'Income &amp; Cash Flow'!AG24)/AG13)</f>
        <v>31675.962633182138</v>
      </c>
    </row>
    <row r="17" spans="1:33" ht="18" customHeight="1" x14ac:dyDescent="0.45">
      <c r="A17" s="17" t="s">
        <v>180</v>
      </c>
      <c r="B17" s="6"/>
      <c r="C17" s="6"/>
      <c r="D17" s="6">
        <f>D16*'Income &amp; Cash Flow'!D11</f>
        <v>257213930348.2587</v>
      </c>
      <c r="E17" s="6">
        <f>E16*'Income &amp; Cash Flow'!E11</f>
        <v>272718124592.75806</v>
      </c>
      <c r="F17" s="6">
        <f>F16*'Income &amp; Cash Flow'!F11</f>
        <v>288594863734.1571</v>
      </c>
      <c r="G17" s="6">
        <f>G16*'Income &amp; Cash Flow'!G11</f>
        <v>304825752596.12701</v>
      </c>
      <c r="H17" s="6">
        <f>H16*'Income &amp; Cash Flow'!H11</f>
        <v>321394833165.92297</v>
      </c>
      <c r="I17" s="6">
        <f>I16*'Income &amp; Cash Flow'!I11</f>
        <v>338288952616.23822</v>
      </c>
      <c r="J17" s="6">
        <f>J16*'Income &amp; Cash Flow'!J11</f>
        <v>355498034971.35089</v>
      </c>
      <c r="K17" s="6">
        <f>K16*'Income &amp; Cash Flow'!K11</f>
        <v>373015258820.474</v>
      </c>
      <c r="L17" s="6">
        <f>L16*'Income &amp; Cash Flow'!L11</f>
        <v>390837147558.20123</v>
      </c>
      <c r="M17" s="6">
        <f>M16*'Income &amp; Cash Flow'!M11</f>
        <v>408963581674.96063</v>
      </c>
      <c r="N17" s="6">
        <f>N16*'Income &amp; Cash Flow'!N11</f>
        <v>427397744600.84979</v>
      </c>
      <c r="O17" s="6">
        <f>O16*'Income &amp; Cash Flow'!O11</f>
        <v>446146014591.56348</v>
      </c>
      <c r="P17" s="6">
        <f>P16*'Income &amp; Cash Flow'!P11</f>
        <v>465217815270.45844</v>
      </c>
      <c r="Q17" s="6">
        <f>Q16*'Income &amp; Cash Flow'!Q11</f>
        <v>484625436879.92621</v>
      </c>
      <c r="R17" s="6">
        <f>R16*'Income &amp; Cash Flow'!R11</f>
        <v>504383839234.83685</v>
      </c>
      <c r="S17" s="6">
        <f>S16*'Income &amp; Cash Flow'!S11</f>
        <v>524510445990.13965</v>
      </c>
      <c r="T17" s="6">
        <f>T16*'Income &amp; Cash Flow'!T11</f>
        <v>545024938291.77246</v>
      </c>
      <c r="U17" s="6">
        <f>U16*'Income &amp; Cash Flow'!U11</f>
        <v>565949054303.87683</v>
      </c>
      <c r="V17" s="6">
        <f>V16*'Income &amp; Cash Flow'!V11</f>
        <v>587306399593.31653</v>
      </c>
      <c r="W17" s="6">
        <f>W16*'Income &amp; Cash Flow'!W11</f>
        <v>609122271971.68738</v>
      </c>
      <c r="X17" s="6">
        <f>X16*'Income &amp; Cash Flow'!X11</f>
        <v>631423503185.50134</v>
      </c>
      <c r="Y17" s="6">
        <f>Y16*'Income &amp; Cash Flow'!Y11</f>
        <v>654238318825.32849</v>
      </c>
      <c r="Z17" s="6">
        <f>Z16*'Income &amp; Cash Flow'!Z11</f>
        <v>677596216995.88879</v>
      </c>
      <c r="AA17" s="6">
        <f>AA16*'Income &amp; Cash Flow'!AA11</f>
        <v>701527865641.28394</v>
      </c>
      <c r="AB17" s="6">
        <f>AB16*'Income &amp; Cash Flow'!AB11</f>
        <v>726065017935.03552</v>
      </c>
      <c r="AC17" s="6">
        <f>AC16*'Income &amp; Cash Flow'!AC11</f>
        <v>751240444801.80981</v>
      </c>
      <c r="AD17" s="6">
        <f>AD16*'Income &amp; Cash Flow'!AD11</f>
        <v>777087883413.69556</v>
      </c>
      <c r="AE17" s="6">
        <f>AE16*'Income &amp; Cash Flow'!AE11</f>
        <v>803642000376.1814</v>
      </c>
      <c r="AF17" s="6">
        <f>AF16*'Income &amp; Cash Flow'!AF11</f>
        <v>830938368266.89233</v>
      </c>
      <c r="AG17" s="6">
        <f>AG16*'Income &amp; Cash Flow'!AG11</f>
        <v>859013454195.27832</v>
      </c>
    </row>
    <row r="18" spans="1:33" ht="18" customHeight="1" x14ac:dyDescent="0.45"/>
    <row r="19" spans="1:33" ht="18" customHeight="1" x14ac:dyDescent="0.45">
      <c r="A19" s="33" t="s">
        <v>209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 spans="1:33" ht="18" customHeight="1" x14ac:dyDescent="0.45">
      <c r="A20" s="26" t="s">
        <v>181</v>
      </c>
      <c r="B20" s="27"/>
      <c r="C20" s="27"/>
      <c r="D20" s="29">
        <f>IF(D13=0,0,'Income &amp; Cash Flow'!D18/D13)</f>
        <v>18880.597014925374</v>
      </c>
      <c r="E20" s="29">
        <f>IF(E13=0,0,'Income &amp; Cash Flow'!E18/E13)</f>
        <v>19517.243786651772</v>
      </c>
      <c r="F20" s="29">
        <f>IF(F13=0,0,'Income &amp; Cash Flow'!F18/F13)</f>
        <v>20131.568743475076</v>
      </c>
      <c r="G20" s="29">
        <f>IF(G13=0,0,'Income &amp; Cash Flow'!G18/G13)</f>
        <v>20721.831710094357</v>
      </c>
      <c r="H20" s="29">
        <f>IF(H13=0,0,'Income &amp; Cash Flow'!H18/H13)</f>
        <v>21286.655621457707</v>
      </c>
      <c r="I20" s="29">
        <f>IF(I13=0,0,'Income &amp; Cash Flow'!I18/I13)</f>
        <v>21825.02125491562</v>
      </c>
      <c r="J20" s="29">
        <f>IF(J13=0,0,'Income &amp; Cash Flow'!J18/J13)</f>
        <v>22336.253148564458</v>
      </c>
      <c r="K20" s="29">
        <f>IF(K13=0,0,'Income &amp; Cash Flow'!K18/K13)</f>
        <v>22819.998264824371</v>
      </c>
      <c r="L20" s="29">
        <f>IF(L13=0,0,'Income &amp; Cash Flow'!L18/L13)</f>
        <v>23276.199078421054</v>
      </c>
      <c r="M20" s="29">
        <f>IF(M13=0,0,'Income &amp; Cash Flow'!M18/M13)</f>
        <v>23705.062770448323</v>
      </c>
      <c r="N20" s="29">
        <f>IF(N13=0,0,'Income &amp; Cash Flow'!N18/N13)</f>
        <v>24107.028116330104</v>
      </c>
      <c r="O20" s="29">
        <f>IF(O13=0,0,'Income &amp; Cash Flow'!O18/O13)</f>
        <v>24482.731490376998</v>
      </c>
      <c r="P20" s="29">
        <f>IF(P13=0,0,'Income &amp; Cash Flow'!P18/P13)</f>
        <v>24832.973198843094</v>
      </c>
      <c r="Q20" s="29">
        <f>IF(Q13=0,0,'Income &amp; Cash Flow'!Q18/Q13)</f>
        <v>25158.68512044397</v>
      </c>
      <c r="R20" s="29">
        <f>IF(R13=0,0,'Income &amp; Cash Flow'!R18/R13)</f>
        <v>25460.900397936162</v>
      </c>
      <c r="S20" s="29">
        <f>IF(S13=0,0,'Income &amp; Cash Flow'!S18/S13)</f>
        <v>25740.725701718897</v>
      </c>
      <c r="T20" s="29">
        <f>IF(T13=0,0,'Income &amp; Cash Flow'!T18/T13)</f>
        <v>25999.316386920036</v>
      </c>
      <c r="U20" s="29">
        <f>IF(U13=0,0,'Income &amp; Cash Flow'!U18/U13)</f>
        <v>26237.854695163125</v>
      </c>
      <c r="V20" s="29">
        <f>IF(V13=0,0,'Income &amp; Cash Flow'!V18/V13)</f>
        <v>26457.531013649663</v>
      </c>
      <c r="W20" s="29">
        <f>IF(W13=0,0,'Income &amp; Cash Flow'!W18/W13)</f>
        <v>26659.528097012382</v>
      </c>
      <c r="X20" s="29">
        <f>IF(X13=0,0,'Income &amp; Cash Flow'!X18/X13)</f>
        <v>26845.008079326988</v>
      </c>
      <c r="Y20" s="29">
        <f>IF(Y13=0,0,'Income &amp; Cash Flow'!Y18/Y13)</f>
        <v>27015.102051236339</v>
      </c>
      <c r="Z20" s="29">
        <f>IF(Z13=0,0,'Income &amp; Cash Flow'!Z18/Z13)</f>
        <v>27170.9019462756</v>
      </c>
      <c r="AA20" s="29">
        <f>IF(AA13=0,0,'Income &amp; Cash Flow'!AA18/AA13)</f>
        <v>27313.454467003667</v>
      </c>
      <c r="AB20" s="29">
        <f>IF(AB13=0,0,'Income &amp; Cash Flow'!AB18/AB13)</f>
        <v>27443.756781459531</v>
      </c>
      <c r="AC20" s="29">
        <f>IF(AC13=0,0,'Income &amp; Cash Flow'!AC18/AC13)</f>
        <v>27562.7537301956</v>
      </c>
      <c r="AD20" s="29">
        <f>IF(AD13=0,0,'Income &amp; Cash Flow'!AD18/AD13)</f>
        <v>27671.336300625953</v>
      </c>
      <c r="AE20" s="29">
        <f>IF(AE13=0,0,'Income &amp; Cash Flow'!AE18/AE13)</f>
        <v>27770.341146140025</v>
      </c>
      <c r="AF20" s="29">
        <f>IF(AF13=0,0,'Income &amp; Cash Flow'!AF18/AF13)</f>
        <v>27860.550950373901</v>
      </c>
      <c r="AG20" s="29">
        <f>IF(AG13=0,0,'Income &amp; Cash Flow'!AG18/AG13)</f>
        <v>27942.69546067905</v>
      </c>
    </row>
    <row r="21" spans="1:33" ht="18" customHeight="1" x14ac:dyDescent="0.45">
      <c r="A21" s="17" t="s">
        <v>182</v>
      </c>
      <c r="B21" s="6"/>
      <c r="C21" s="6"/>
      <c r="D21" s="6">
        <f>D20*'Income &amp; Cash Flow'!D11</f>
        <v>188805970149.25372</v>
      </c>
      <c r="E21" s="6">
        <f>E20*'Income &amp; Cash Flow'!E11</f>
        <v>202003473191.84586</v>
      </c>
      <c r="F21" s="6">
        <f>F20*'Income &amp; Cash Flow'!F11</f>
        <v>215654397272.29089</v>
      </c>
      <c r="G21" s="6">
        <f>G20*'Income &amp; Cash Flow'!G11</f>
        <v>229746652197.23431</v>
      </c>
      <c r="H21" s="6">
        <f>H20*'Income &amp; Cash Flow'!H11</f>
        <v>244269269320.06171</v>
      </c>
      <c r="I21" s="6">
        <f>I20*'Income &amp; Cash Flow'!I11</f>
        <v>259212788649.15256</v>
      </c>
      <c r="J21" s="6">
        <f>J20*'Income &amp; Cash Flow'!J11</f>
        <v>274569581534.5231</v>
      </c>
      <c r="K21" s="6">
        <f>K20*'Income &amp; Cash Flow'!K11</f>
        <v>290334105687.05237</v>
      </c>
      <c r="L21" s="6">
        <f>L20*'Income &amp; Cash Flow'!L11</f>
        <v>306503092926.24084</v>
      </c>
      <c r="M21" s="6">
        <f>M20*'Income &amp; Cash Flow'!M11</f>
        <v>323075673086.3797</v>
      </c>
      <c r="N21" s="6">
        <f>N20*'Income &amp; Cash Flow'!N11</f>
        <v>340053439831.53778</v>
      </c>
      <c r="O21" s="6">
        <f>O20*'Income &amp; Cash Flow'!O11</f>
        <v>357440465713.38593</v>
      </c>
      <c r="P21" s="6">
        <f>P20*'Income &amp; Cash Flow'!P11</f>
        <v>375243274694.93994</v>
      </c>
      <c r="Q21" s="6">
        <f>Q20*'Income &amp; Cash Flow'!Q11</f>
        <v>393470780646.43353</v>
      </c>
      <c r="R21" s="6">
        <f>R20*'Income &amp; Cash Flow'!R11</f>
        <v>412134200111.87976</v>
      </c>
      <c r="S21" s="6">
        <f>S20*'Income &amp; Cash Flow'!S11</f>
        <v>431246947070.86823</v>
      </c>
      <c r="T21" s="6">
        <f>T20*'Income &amp; Cash Flow'!T11</f>
        <v>450824516600.03314</v>
      </c>
      <c r="U21" s="6">
        <f>U20*'Income &amp; Cash Flow'!U11</f>
        <v>470884363379.37268</v>
      </c>
      <c r="V21" s="6">
        <f>V20*'Income &amp; Cash Flow'!V11</f>
        <v>491445779978.6438</v>
      </c>
      <c r="W21" s="6">
        <f>W20*'Income &amp; Cash Flow'!W11</f>
        <v>512529778866.57001</v>
      </c>
      <c r="X21" s="6">
        <f>X20*'Income &amp; Cash Flow'!X11</f>
        <v>534158981158.95428</v>
      </c>
      <c r="Y21" s="6">
        <f>Y20*'Income &amp; Cash Flow'!Y11</f>
        <v>556357514291.8634</v>
      </c>
      <c r="Z21" s="6">
        <f>Z20*'Income &amp; Cash Flow'!Z11</f>
        <v>579150920089.09302</v>
      </c>
      <c r="AA21" s="6">
        <f>AA20*'Income &amp; Cash Flow'!AA11</f>
        <v>602566074094.16907</v>
      </c>
      <c r="AB21" s="6">
        <f>AB20*'Income &amp; Cash Flow'!AB11</f>
        <v>626631116552.93555</v>
      </c>
      <c r="AC21" s="6">
        <f>AC20*'Income &amp; Cash Flow'!AC11</f>
        <v>651375395054.72424</v>
      </c>
      <c r="AD21" s="6">
        <f>AD20*'Income &amp; Cash Flow'!AD11</f>
        <v>676829418556.3551</v>
      </c>
      <c r="AE21" s="6">
        <f>AE20*'Income &amp; Cash Flow'!AE11</f>
        <v>703024822310.45667</v>
      </c>
      <c r="AF21" s="6">
        <f>AF20*'Income &amp; Cash Flow'!AF11</f>
        <v>729994343084.37817</v>
      </c>
      <c r="AG21" s="6">
        <f>AG20*'Income &amp; Cash Flow'!AG11</f>
        <v>757771803975.42664</v>
      </c>
    </row>
    <row r="22" spans="1:33" ht="18" customHeight="1" x14ac:dyDescent="0.45"/>
    <row r="23" spans="1:33" ht="18" customHeight="1" x14ac:dyDescent="0.45">
      <c r="A23" s="33" t="s">
        <v>183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 ht="18" customHeight="1" x14ac:dyDescent="0.45">
      <c r="A24" s="17" t="s">
        <v>184</v>
      </c>
      <c r="B24" s="6"/>
      <c r="C24" s="6"/>
      <c r="D24" s="6">
        <f>'Income &amp; Cash Flow'!D13-'Income &amp; Cash Flow'!D19</f>
        <v>335000000000</v>
      </c>
      <c r="E24" s="6">
        <f>'Income &amp; Cash Flow'!E13-'Income &amp; Cash Flow'!E19</f>
        <v>370633500000</v>
      </c>
      <c r="F24" s="6">
        <f>'Income &amp; Cash Flow'!F13-'Income &amp; Cash Flow'!F19</f>
        <v>410949226237.5</v>
      </c>
      <c r="G24" s="6">
        <f>'Income &amp; Cash Flow'!G13-'Income &amp; Cash Flow'!G19</f>
        <v>456604587976.54773</v>
      </c>
      <c r="H24" s="6">
        <f>'Income &amp; Cash Flow'!H13-'Income &amp; Cash Flow'!H19</f>
        <v>508350911921.53143</v>
      </c>
      <c r="I24" s="6">
        <f>'Income &amp; Cash Flow'!I13-'Income &amp; Cash Flow'!I19</f>
        <v>567046917051.17139</v>
      </c>
      <c r="J24" s="6">
        <f>'Income &amp; Cash Flow'!J13-'Income &amp; Cash Flow'!J19</f>
        <v>633674124792.88843</v>
      </c>
      <c r="K24" s="6">
        <f>'Income &amp; Cash Flow'!K13-'Income &amp; Cash Flow'!K19</f>
        <v>709354482574.60022</v>
      </c>
      <c r="L24" s="6">
        <f>'Income &amp; Cash Flow'!L13-'Income &amp; Cash Flow'!L19</f>
        <v>795370518737.17273</v>
      </c>
      <c r="M24" s="6">
        <f>'Income &amp; Cash Flow'!M13-'Income &amp; Cash Flow'!M19</f>
        <v>893188392476.15613</v>
      </c>
      <c r="N24" s="6">
        <f>'Income &amp; Cash Flow'!N13-'Income &amp; Cash Flow'!N19</f>
        <v>1004484254730.668</v>
      </c>
      <c r="O24" s="6">
        <f>'Income &amp; Cash Flow'!O13-'Income &amp; Cash Flow'!O19</f>
        <v>1131174395693.3892</v>
      </c>
      <c r="P24" s="6">
        <f>'Income &amp; Cash Flow'!P13-'Income &amp; Cash Flow'!P19</f>
        <v>1275449722957.1792</v>
      </c>
      <c r="Q24" s="6">
        <f>'Income &amp; Cash Flow'!Q13-'Income &amp; Cash Flow'!Q19</f>
        <v>1439815192474.2834</v>
      </c>
      <c r="R24" s="6">
        <f>'Income &amp; Cash Flow'!R13-'Income &amp; Cash Flow'!R19</f>
        <v>1627134903894.251</v>
      </c>
      <c r="S24" s="6">
        <f>'Income &amp; Cash Flow'!S13-'Income &amp; Cash Flow'!S19</f>
        <v>1840683674079.9248</v>
      </c>
      <c r="T24" s="6">
        <f>'Income &amp; Cash Flow'!T13-'Income &amp; Cash Flow'!T19</f>
        <v>2084206019522.4292</v>
      </c>
      <c r="U24" s="6">
        <f>'Income &amp; Cash Flow'!U13-'Income &amp; Cash Flow'!U19</f>
        <v>2361983612096.3018</v>
      </c>
      <c r="V24" s="6">
        <f>'Income &amp; Cash Flow'!V13-'Income &amp; Cash Flow'!V19</f>
        <v>2678912425528.3911</v>
      </c>
      <c r="W24" s="6">
        <f>'Income &amp; Cash Flow'!W13-'Income &amp; Cash Flow'!W19</f>
        <v>3040590964859.0815</v>
      </c>
      <c r="X24" s="6">
        <f>'Income &amp; Cash Flow'!X13-'Income &amp; Cash Flow'!X19</f>
        <v>3453421171208.8594</v>
      </c>
      <c r="Y24" s="6">
        <f>'Income &amp; Cash Flow'!Y13-'Income &amp; Cash Flow'!Y19</f>
        <v>3924723822937.5186</v>
      </c>
      <c r="Z24" s="6">
        <f>'Income &amp; Cash Flow'!Z13-'Income &amp; Cash Flow'!Z19</f>
        <v>4462870515926.7275</v>
      </c>
      <c r="AA24" s="6">
        <f>'Income &amp; Cash Flow'!AA13-'Income &amp; Cash Flow'!AA19</f>
        <v>5077434604951.6641</v>
      </c>
      <c r="AB24" s="6">
        <f>'Income &amp; Cash Flow'!AB13-'Income &amp; Cash Flow'!AB19</f>
        <v>5779363830334.9775</v>
      </c>
      <c r="AC24" s="6">
        <f>'Income &amp; Cash Flow'!AC13-'Income &amp; Cash Flow'!AC19</f>
        <v>6581177745473.3301</v>
      </c>
      <c r="AD24" s="6">
        <f>'Income &amp; Cash Flow'!AD13-'Income &amp; Cash Flow'!AD19</f>
        <v>7497193508457.7109</v>
      </c>
      <c r="AE24" s="6">
        <f>'Income &amp; Cash Flow'!AE13-'Income &amp; Cash Flow'!AE19</f>
        <v>8543784112952.9961</v>
      </c>
      <c r="AF24" s="6">
        <f>'Income &amp; Cash Flow'!AF13-'Income &amp; Cash Flow'!AF19</f>
        <v>9739673719000.002</v>
      </c>
      <c r="AG24" s="6">
        <f>'Income &amp; Cash Flow'!AG13-'Income &amp; Cash Flow'!AG19</f>
        <v>11106275414022.465</v>
      </c>
    </row>
    <row r="25" spans="1:33" ht="18" customHeight="1" x14ac:dyDescent="0.45">
      <c r="A25" s="26" t="s">
        <v>185</v>
      </c>
      <c r="B25" s="30"/>
      <c r="C25" s="30"/>
      <c r="D25" s="31">
        <f>IF('Income &amp; Cash Flow'!D25=0,"-",D24/'Income &amp; Cash Flow'!D25)</f>
        <v>1.8785046728971961</v>
      </c>
      <c r="E25" s="31">
        <f>IF('Income &amp; Cash Flow'!E25=0,"-",E24/'Income &amp; Cash Flow'!E25)</f>
        <v>1.7654104192351689</v>
      </c>
      <c r="F25" s="31">
        <f>IF('Income &amp; Cash Flow'!F25=0,"-",F24/'Income &amp; Cash Flow'!F25)</f>
        <v>1.6699029345675238</v>
      </c>
      <c r="G25" s="31">
        <f>IF('Income &amp; Cash Flow'!G25=0,"-",G24/'Income &amp; Cash Flow'!G25)</f>
        <v>1.588547000431147</v>
      </c>
      <c r="H25" s="31">
        <f>IF('Income &amp; Cash Flow'!H25=0,"-",H24/'Income &amp; Cash Flow'!H25)</f>
        <v>1.5187388817776388</v>
      </c>
      <c r="I25" s="31">
        <f>IF('Income &amp; Cash Flow'!I25=0,"-",I24/'Income &amp; Cash Flow'!I25)</f>
        <v>1.4584677895509044</v>
      </c>
      <c r="J25" s="31">
        <f>IF('Income &amp; Cash Flow'!J25=0,"-",J24/'Income &amp; Cash Flow'!J25)</f>
        <v>1.4061551835249417</v>
      </c>
      <c r="K25" s="31">
        <f>IF('Income &amp; Cash Flow'!K25=0,"-",K24/'Income &amp; Cash Flow'!K25)</f>
        <v>1.3605438106074517</v>
      </c>
      <c r="L25" s="31">
        <f>IF('Income &amp; Cash Flow'!L25=0,"-",L24/'Income &amp; Cash Flow'!L25)</f>
        <v>1.3206193987940451</v>
      </c>
      <c r="M25" s="31">
        <f>IF('Income &amp; Cash Flow'!M25=0,"-",M24/'Income &amp; Cash Flow'!M25)</f>
        <v>1.2855543142579378</v>
      </c>
      <c r="N25" s="31">
        <f>IF('Income &amp; Cash Flow'!N25=0,"-",N24/'Income &amp; Cash Flow'!N25)</f>
        <v>1.2546663095345993</v>
      </c>
      <c r="O25" s="31">
        <f>IF('Income &amp; Cash Flow'!O25=0,"-",O24/'Income &amp; Cash Flow'!O25)</f>
        <v>1.227387841559084</v>
      </c>
      <c r="P25" s="31">
        <f>IF('Income &amp; Cash Flow'!P25=0,"-",P24/'Income &amp; Cash Flow'!P25)</f>
        <v>1.2032429218603957</v>
      </c>
      <c r="Q25" s="31">
        <f>IF('Income &amp; Cash Flow'!Q25=0,"-",Q24/'Income &amp; Cash Flow'!Q25)</f>
        <v>1.1818294189922072</v>
      </c>
      <c r="R25" s="31">
        <f>IF('Income &amp; Cash Flow'!R25=0,"-",R24/'Income &amp; Cash Flow'!R25)</f>
        <v>1.1628053644541307</v>
      </c>
      <c r="S25" s="31">
        <f>IF('Income &amp; Cash Flow'!S25=0,"-",S24/'Income &amp; Cash Flow'!S25)</f>
        <v>1.145878237133575</v>
      </c>
      <c r="T25" s="31">
        <f>IF('Income &amp; Cash Flow'!T25=0,"-",T24/'Income &amp; Cash Flow'!T25)</f>
        <v>1.1307964907021599</v>
      </c>
      <c r="U25" s="31">
        <f>IF('Income &amp; Cash Flow'!U25=0,"-",U24/'Income &amp; Cash Flow'!U25)</f>
        <v>1.1173427891360461</v>
      </c>
      <c r="V25" s="31">
        <f>IF('Income &amp; Cash Flow'!V25=0,"-",V24/'Income &amp; Cash Flow'!V25)</f>
        <v>1.1053285567629259</v>
      </c>
      <c r="W25" s="31">
        <f>IF('Income &amp; Cash Flow'!W25=0,"-",W24/'Income &amp; Cash Flow'!W25)</f>
        <v>1.0945895499202141</v>
      </c>
      <c r="X25" s="31">
        <f>IF('Income &amp; Cash Flow'!X25=0,"-",X24/'Income &amp; Cash Flow'!X25)</f>
        <v>1.0849822299572862</v>
      </c>
      <c r="Y25" s="31">
        <f>IF('Income &amp; Cash Flow'!Y25=0,"-",Y24/'Income &amp; Cash Flow'!Y25)</f>
        <v>1.076380770326034</v>
      </c>
      <c r="Z25" s="31">
        <f>IF('Income &amp; Cash Flow'!Z25=0,"-",Z24/'Income &amp; Cash Flow'!Z25)</f>
        <v>1.0686745695913304</v>
      </c>
      <c r="AA25" s="31">
        <f>IF('Income &amp; Cash Flow'!AA25=0,"-",AA24/'Income &amp; Cash Flow'!AA25)</f>
        <v>1.0617661712944602</v>
      </c>
      <c r="AB25" s="31">
        <f>IF('Income &amp; Cash Flow'!AB25=0,"-",AB24/'Income &amp; Cash Flow'!AB25)</f>
        <v>1.0555695134668333</v>
      </c>
      <c r="AC25" s="31">
        <f>IF('Income &amp; Cash Flow'!AC25=0,"-",AC24/'Income &amp; Cash Flow'!AC25)</f>
        <v>1.0500084471586679</v>
      </c>
      <c r="AD25" s="31">
        <f>IF('Income &amp; Cash Flow'!AD25=0,"-",AD24/'Income &amp; Cash Flow'!AD25)</f>
        <v>1.0450154760023267</v>
      </c>
      <c r="AE25" s="31">
        <f>IF('Income &amp; Cash Flow'!AE25=0,"-",AE24/'Income &amp; Cash Flow'!AE25)</f>
        <v>1.0405306785704378</v>
      </c>
      <c r="AF25" s="31">
        <f>IF('Income &amp; Cash Flow'!AF25=0,"-",AF24/'Income &amp; Cash Flow'!AF25)</f>
        <v>1.0365007828405963</v>
      </c>
      <c r="AG25" s="31">
        <f>IF('Income &amp; Cash Flow'!AG25=0,"-",AG24/'Income &amp; Cash Flow'!AG25)</f>
        <v>1.0328783679739775</v>
      </c>
    </row>
    <row r="26" spans="1:33" ht="18" customHeight="1" x14ac:dyDescent="0.45"/>
    <row r="27" spans="1:33" ht="18" customHeight="1" x14ac:dyDescent="0.45">
      <c r="A27" s="33" t="s">
        <v>186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 ht="43.5" customHeight="1" x14ac:dyDescent="0.45">
      <c r="A28" s="38" t="s">
        <v>187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</row>
    <row r="29" spans="1:33" ht="18" customHeight="1" x14ac:dyDescent="0.45"/>
    <row r="30" spans="1:33" ht="18" customHeight="1" x14ac:dyDescent="0.45"/>
    <row r="31" spans="1:33" ht="18" customHeight="1" x14ac:dyDescent="0.45"/>
    <row r="32" spans="1:3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</sheetData>
  <mergeCells count="7">
    <merg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"/>
  <sheetViews>
    <sheetView zoomScaleNormal="100" workbookViewId="0">
      <selection activeCell="A2" sqref="A2"/>
    </sheetView>
  </sheetViews>
  <sheetFormatPr defaultColWidth="8.6640625" defaultRowHeight="14.25" x14ac:dyDescent="0.45"/>
  <cols>
    <col min="1" max="1" width="35" customWidth="1"/>
    <col min="2" max="2" width="46.73046875" bestFit="1" customWidth="1"/>
    <col min="3" max="3" width="20" customWidth="1"/>
  </cols>
  <sheetData>
    <row r="1" spans="1:3" ht="15" customHeight="1" x14ac:dyDescent="0.45">
      <c r="A1" s="32" t="s">
        <v>210</v>
      </c>
      <c r="B1" s="32"/>
      <c r="C1" s="32"/>
    </row>
    <row r="3" spans="1:3" x14ac:dyDescent="0.45">
      <c r="A3" s="33" t="s">
        <v>188</v>
      </c>
      <c r="B3" s="33"/>
      <c r="C3" s="33"/>
    </row>
    <row r="4" spans="1:3" x14ac:dyDescent="0.45">
      <c r="A4" s="17" t="s">
        <v>189</v>
      </c>
      <c r="B4" s="6">
        <f>Assumptions!B10</f>
        <v>1250000000000</v>
      </c>
    </row>
    <row r="5" spans="1:3" x14ac:dyDescent="0.45">
      <c r="A5" s="17" t="s">
        <v>190</v>
      </c>
      <c r="B5" s="9" t="str">
        <f>Assumptions!B6&amp;" years"</f>
        <v>30 years</v>
      </c>
    </row>
    <row r="6" spans="1:3" x14ac:dyDescent="0.45">
      <c r="A6" s="17" t="s">
        <v>191</v>
      </c>
      <c r="B6" s="7">
        <f>Assumptions!B23</f>
        <v>3.5000000000000003E-2</v>
      </c>
    </row>
    <row r="7" spans="1:3" x14ac:dyDescent="0.45">
      <c r="A7" s="17" t="s">
        <v>192</v>
      </c>
      <c r="B7" s="7">
        <f>Assumptions!B30</f>
        <v>7.0000000000000007E-2</v>
      </c>
    </row>
    <row r="8" spans="1:3" x14ac:dyDescent="0.45">
      <c r="A8" s="17" t="s">
        <v>110</v>
      </c>
      <c r="B8" s="12">
        <f>Assumptions!B34</f>
        <v>0.4</v>
      </c>
    </row>
    <row r="10" spans="1:3" x14ac:dyDescent="0.45">
      <c r="A10" s="33" t="s">
        <v>38</v>
      </c>
      <c r="B10" s="33"/>
      <c r="C10" s="33"/>
    </row>
    <row r="11" spans="1:3" x14ac:dyDescent="0.45">
      <c r="A11" s="17" t="s">
        <v>193</v>
      </c>
      <c r="B11" s="12">
        <f>Assumptions!B46</f>
        <v>0.65</v>
      </c>
    </row>
    <row r="12" spans="1:3" x14ac:dyDescent="0.45">
      <c r="A12" s="17" t="s">
        <v>194</v>
      </c>
      <c r="B12" s="12">
        <f>Assumptions!B47</f>
        <v>0.35</v>
      </c>
    </row>
    <row r="13" spans="1:3" x14ac:dyDescent="0.45">
      <c r="A13" s="17" t="s">
        <v>195</v>
      </c>
      <c r="B13" s="7">
        <f>Assumptions!B48</f>
        <v>0.115</v>
      </c>
    </row>
    <row r="14" spans="1:3" x14ac:dyDescent="0.45">
      <c r="A14" s="17" t="s">
        <v>196</v>
      </c>
      <c r="B14" s="7">
        <f>Assumptions!B51</f>
        <v>0.13</v>
      </c>
    </row>
    <row r="15" spans="1:3" x14ac:dyDescent="0.45">
      <c r="A15" s="17" t="s">
        <v>197</v>
      </c>
      <c r="B15" s="7">
        <f>WACC!B13</f>
        <v>0.15089285714285716</v>
      </c>
    </row>
    <row r="16" spans="1:3" x14ac:dyDescent="0.45">
      <c r="A16" s="17" t="s">
        <v>65</v>
      </c>
      <c r="B16" s="7">
        <f>WACC!B16</f>
        <v>0.10887500000000001</v>
      </c>
    </row>
    <row r="17" spans="1:3" x14ac:dyDescent="0.45">
      <c r="A17" s="17" t="s">
        <v>168</v>
      </c>
      <c r="B17" s="7">
        <f>WACC!B17</f>
        <v>0.11887500000000001</v>
      </c>
    </row>
    <row r="19" spans="1:3" x14ac:dyDescent="0.45">
      <c r="A19" s="33" t="s">
        <v>198</v>
      </c>
      <c r="B19" s="33"/>
      <c r="C19" s="33"/>
    </row>
    <row r="20" spans="1:3" x14ac:dyDescent="0.45">
      <c r="A20" s="17" t="s">
        <v>170</v>
      </c>
      <c r="B20" s="24">
        <f>'NPV Analysis'!B12</f>
        <v>3647039353750.7256</v>
      </c>
    </row>
    <row r="21" spans="1:3" x14ac:dyDescent="0.45">
      <c r="A21" s="17" t="s">
        <v>199</v>
      </c>
      <c r="B21" s="9" t="str">
        <f>'NPV Analysis'!A15</f>
        <v>NPV is POSITIVE → Project ACCEPTED (creates value)</v>
      </c>
    </row>
    <row r="23" spans="1:3" x14ac:dyDescent="0.45">
      <c r="A23" s="33" t="s">
        <v>200</v>
      </c>
      <c r="B23" s="33"/>
      <c r="C23" s="33"/>
    </row>
    <row r="24" spans="1:3" x14ac:dyDescent="0.45">
      <c r="A24" s="17" t="s">
        <v>201</v>
      </c>
      <c r="B24" s="6">
        <f>'Income &amp; Cash Flow'!D13</f>
        <v>550000000000</v>
      </c>
    </row>
    <row r="25" spans="1:3" x14ac:dyDescent="0.45">
      <c r="A25" s="17" t="s">
        <v>202</v>
      </c>
      <c r="B25" s="6">
        <f>'Income &amp; Cash Flow'!D17</f>
        <v>220000000000</v>
      </c>
    </row>
    <row r="26" spans="1:3" x14ac:dyDescent="0.45">
      <c r="A26" s="17" t="s">
        <v>203</v>
      </c>
      <c r="B26" s="6">
        <f>'Income &amp; Cash Flow'!D29</f>
        <v>63671875000.000008</v>
      </c>
    </row>
    <row r="27" spans="1:3" x14ac:dyDescent="0.45">
      <c r="A27" s="17" t="s">
        <v>204</v>
      </c>
      <c r="B27" s="6">
        <f>'Income &amp; Cash Flow'!D38</f>
        <v>55338541666.666672</v>
      </c>
    </row>
    <row r="28" spans="1:3" x14ac:dyDescent="0.45">
      <c r="A28" s="17" t="s">
        <v>205</v>
      </c>
      <c r="B28" s="18">
        <f>'Break-Even &amp; DOL'!D16</f>
        <v>25721.393034825869</v>
      </c>
    </row>
    <row r="29" spans="1:3" x14ac:dyDescent="0.45">
      <c r="A29" s="17" t="s">
        <v>206</v>
      </c>
      <c r="B29" s="18">
        <f>'Break-Even &amp; DOL'!D20</f>
        <v>18880.597014925374</v>
      </c>
    </row>
    <row r="30" spans="1:3" x14ac:dyDescent="0.45">
      <c r="A30" s="17" t="s">
        <v>207</v>
      </c>
      <c r="B30" s="13">
        <f>'Break-Even &amp; DOL'!D25</f>
        <v>1.8785046728971961</v>
      </c>
    </row>
  </sheetData>
  <mergeCells count="5">
    <mergeCell ref="A1:C1"/>
    <mergeCell ref="A3:C3"/>
    <mergeCell ref="A10:C10"/>
    <mergeCell ref="A19:C19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E18A-0FA3-4B46-851B-164A73793A92}">
  <dimension ref="B2:E52"/>
  <sheetViews>
    <sheetView workbookViewId="0">
      <selection activeCell="H5" sqref="H5"/>
    </sheetView>
  </sheetViews>
  <sheetFormatPr defaultRowHeight="13.5" x14ac:dyDescent="0.35"/>
  <cols>
    <col min="1" max="16384" width="9.06640625" style="39"/>
  </cols>
  <sheetData>
    <row r="2" spans="2:5" x14ac:dyDescent="0.35">
      <c r="C2" s="41" t="s">
        <v>211</v>
      </c>
      <c r="D2" s="42">
        <v>6.5000000000000002E-2</v>
      </c>
    </row>
    <row r="3" spans="2:5" x14ac:dyDescent="0.35">
      <c r="C3" s="43" t="s">
        <v>212</v>
      </c>
      <c r="D3" s="44">
        <v>1.375</v>
      </c>
    </row>
    <row r="4" spans="2:5" x14ac:dyDescent="0.35">
      <c r="C4" s="43" t="s">
        <v>213</v>
      </c>
      <c r="D4" s="45">
        <v>0.18</v>
      </c>
    </row>
    <row r="5" spans="2:5" x14ac:dyDescent="0.35">
      <c r="C5" s="43" t="s">
        <v>214</v>
      </c>
      <c r="D5" s="46">
        <f>(D4-D2)/D3</f>
        <v>8.3636363636363634E-2</v>
      </c>
      <c r="E5" s="40" t="s">
        <v>215</v>
      </c>
    </row>
    <row r="6" spans="2:5" x14ac:dyDescent="0.35">
      <c r="C6" s="43"/>
      <c r="D6" s="44"/>
    </row>
    <row r="7" spans="2:5" x14ac:dyDescent="0.35">
      <c r="C7" s="43"/>
      <c r="D7" s="44"/>
    </row>
    <row r="8" spans="2:5" x14ac:dyDescent="0.35">
      <c r="C8" s="43" t="s">
        <v>212</v>
      </c>
      <c r="D8" s="44">
        <v>2</v>
      </c>
    </row>
    <row r="9" spans="2:5" x14ac:dyDescent="0.35">
      <c r="C9" s="47" t="s">
        <v>213</v>
      </c>
      <c r="D9" s="48">
        <f>D2+D8*D5</f>
        <v>0.23227272727272727</v>
      </c>
    </row>
    <row r="12" spans="2:5" x14ac:dyDescent="0.35">
      <c r="B12" s="41" t="s">
        <v>212</v>
      </c>
      <c r="C12" s="49" t="s">
        <v>216</v>
      </c>
    </row>
    <row r="13" spans="2:5" x14ac:dyDescent="0.35">
      <c r="B13" s="43">
        <v>0</v>
      </c>
      <c r="C13" s="50">
        <f>D2</f>
        <v>6.5000000000000002E-2</v>
      </c>
    </row>
    <row r="14" spans="2:5" x14ac:dyDescent="0.35">
      <c r="B14" s="51">
        <f t="shared" ref="B14:B52" si="0">(C14-$C$13)/$D$5</f>
        <v>5.9782608695652231E-2</v>
      </c>
      <c r="C14" s="50">
        <f>C13+0.5%</f>
        <v>7.0000000000000007E-2</v>
      </c>
    </row>
    <row r="15" spans="2:5" x14ac:dyDescent="0.35">
      <c r="B15" s="51">
        <f t="shared" si="0"/>
        <v>0.11956521739130446</v>
      </c>
      <c r="C15" s="50">
        <f t="shared" ref="C15:C52" si="1">C14+0.5%</f>
        <v>7.5000000000000011E-2</v>
      </c>
    </row>
    <row r="16" spans="2:5" x14ac:dyDescent="0.35">
      <c r="B16" s="51">
        <f t="shared" si="0"/>
        <v>0.17934782608695668</v>
      </c>
      <c r="C16" s="50">
        <f t="shared" si="1"/>
        <v>8.0000000000000016E-2</v>
      </c>
    </row>
    <row r="17" spans="2:3" x14ac:dyDescent="0.35">
      <c r="B17" s="51">
        <f t="shared" si="0"/>
        <v>0.23913043478260892</v>
      </c>
      <c r="C17" s="50">
        <f t="shared" si="1"/>
        <v>8.500000000000002E-2</v>
      </c>
    </row>
    <row r="18" spans="2:3" x14ac:dyDescent="0.35">
      <c r="B18" s="51">
        <f t="shared" si="0"/>
        <v>0.29891304347826114</v>
      </c>
      <c r="C18" s="50">
        <f t="shared" si="1"/>
        <v>9.0000000000000024E-2</v>
      </c>
    </row>
    <row r="19" spans="2:3" x14ac:dyDescent="0.35">
      <c r="B19" s="51">
        <f t="shared" si="0"/>
        <v>0.35869565217391336</v>
      </c>
      <c r="C19" s="50">
        <f t="shared" si="1"/>
        <v>9.5000000000000029E-2</v>
      </c>
    </row>
    <row r="20" spans="2:3" x14ac:dyDescent="0.35">
      <c r="B20" s="51">
        <f t="shared" si="0"/>
        <v>0.41847826086956558</v>
      </c>
      <c r="C20" s="50">
        <f t="shared" si="1"/>
        <v>0.10000000000000003</v>
      </c>
    </row>
    <row r="21" spans="2:3" x14ac:dyDescent="0.35">
      <c r="B21" s="51">
        <f t="shared" si="0"/>
        <v>0.47826086956521785</v>
      </c>
      <c r="C21" s="50">
        <f t="shared" si="1"/>
        <v>0.10500000000000004</v>
      </c>
    </row>
    <row r="22" spans="2:3" x14ac:dyDescent="0.35">
      <c r="B22" s="51">
        <f t="shared" si="0"/>
        <v>0.53804347826087007</v>
      </c>
      <c r="C22" s="50">
        <f t="shared" si="1"/>
        <v>0.11000000000000004</v>
      </c>
    </row>
    <row r="23" spans="2:3" x14ac:dyDescent="0.35">
      <c r="B23" s="51">
        <f t="shared" si="0"/>
        <v>0.59782608695652228</v>
      </c>
      <c r="C23" s="50">
        <f t="shared" si="1"/>
        <v>0.11500000000000005</v>
      </c>
    </row>
    <row r="24" spans="2:3" x14ac:dyDescent="0.35">
      <c r="B24" s="51">
        <f t="shared" si="0"/>
        <v>0.6576086956521745</v>
      </c>
      <c r="C24" s="50">
        <f t="shared" si="1"/>
        <v>0.12000000000000005</v>
      </c>
    </row>
    <row r="25" spans="2:3" x14ac:dyDescent="0.35">
      <c r="B25" s="51">
        <f t="shared" si="0"/>
        <v>0.71739130434782672</v>
      </c>
      <c r="C25" s="50">
        <f t="shared" si="1"/>
        <v>0.12500000000000006</v>
      </c>
    </row>
    <row r="26" spans="2:3" x14ac:dyDescent="0.35">
      <c r="B26" s="51">
        <f t="shared" si="0"/>
        <v>0.77717391304347894</v>
      </c>
      <c r="C26" s="50">
        <f t="shared" si="1"/>
        <v>0.13000000000000006</v>
      </c>
    </row>
    <row r="27" spans="2:3" x14ac:dyDescent="0.35">
      <c r="B27" s="51">
        <f t="shared" si="0"/>
        <v>0.83695652173913115</v>
      </c>
      <c r="C27" s="50">
        <f t="shared" si="1"/>
        <v>0.13500000000000006</v>
      </c>
    </row>
    <row r="28" spans="2:3" x14ac:dyDescent="0.35">
      <c r="B28" s="51">
        <f t="shared" si="0"/>
        <v>0.89673913043478348</v>
      </c>
      <c r="C28" s="50">
        <f t="shared" si="1"/>
        <v>0.14000000000000007</v>
      </c>
    </row>
    <row r="29" spans="2:3" x14ac:dyDescent="0.35">
      <c r="B29" s="51">
        <f t="shared" si="0"/>
        <v>0.9565217391304357</v>
      </c>
      <c r="C29" s="50">
        <f t="shared" si="1"/>
        <v>0.14500000000000007</v>
      </c>
    </row>
    <row r="30" spans="2:3" x14ac:dyDescent="0.35">
      <c r="B30" s="51">
        <f t="shared" si="0"/>
        <v>1.0163043478260878</v>
      </c>
      <c r="C30" s="50">
        <f t="shared" si="1"/>
        <v>0.15000000000000008</v>
      </c>
    </row>
    <row r="31" spans="2:3" x14ac:dyDescent="0.35">
      <c r="B31" s="51">
        <f t="shared" si="0"/>
        <v>1.0760869565217401</v>
      </c>
      <c r="C31" s="50">
        <f t="shared" si="1"/>
        <v>0.15500000000000008</v>
      </c>
    </row>
    <row r="32" spans="2:3" x14ac:dyDescent="0.35">
      <c r="B32" s="51">
        <f t="shared" si="0"/>
        <v>1.1358695652173922</v>
      </c>
      <c r="C32" s="50">
        <f t="shared" si="1"/>
        <v>0.16000000000000009</v>
      </c>
    </row>
    <row r="33" spans="2:3" x14ac:dyDescent="0.35">
      <c r="B33" s="51">
        <f t="shared" si="0"/>
        <v>1.1956521739130446</v>
      </c>
      <c r="C33" s="50">
        <f t="shared" si="1"/>
        <v>0.16500000000000009</v>
      </c>
    </row>
    <row r="34" spans="2:3" x14ac:dyDescent="0.35">
      <c r="B34" s="51">
        <f t="shared" si="0"/>
        <v>1.2554347826086969</v>
      </c>
      <c r="C34" s="50">
        <f t="shared" si="1"/>
        <v>0.1700000000000001</v>
      </c>
    </row>
    <row r="35" spans="2:3" x14ac:dyDescent="0.35">
      <c r="B35" s="51">
        <f t="shared" si="0"/>
        <v>1.315217391304349</v>
      </c>
      <c r="C35" s="50">
        <f t="shared" si="1"/>
        <v>0.1750000000000001</v>
      </c>
    </row>
    <row r="36" spans="2:3" x14ac:dyDescent="0.35">
      <c r="B36" s="51">
        <f t="shared" si="0"/>
        <v>1.3750000000000013</v>
      </c>
      <c r="C36" s="50">
        <f t="shared" si="1"/>
        <v>0.1800000000000001</v>
      </c>
    </row>
    <row r="37" spans="2:3" x14ac:dyDescent="0.35">
      <c r="B37" s="51">
        <f t="shared" si="0"/>
        <v>1.4347826086956534</v>
      </c>
      <c r="C37" s="50">
        <f t="shared" si="1"/>
        <v>0.18500000000000011</v>
      </c>
    </row>
    <row r="38" spans="2:3" x14ac:dyDescent="0.35">
      <c r="B38" s="51">
        <f t="shared" si="0"/>
        <v>1.4945652173913058</v>
      </c>
      <c r="C38" s="50">
        <f t="shared" si="1"/>
        <v>0.19000000000000011</v>
      </c>
    </row>
    <row r="39" spans="2:3" x14ac:dyDescent="0.35">
      <c r="B39" s="51">
        <f t="shared" si="0"/>
        <v>1.5543478260869579</v>
      </c>
      <c r="C39" s="50">
        <f t="shared" si="1"/>
        <v>0.19500000000000012</v>
      </c>
    </row>
    <row r="40" spans="2:3" x14ac:dyDescent="0.35">
      <c r="B40" s="51">
        <f t="shared" si="0"/>
        <v>1.6141304347826102</v>
      </c>
      <c r="C40" s="50">
        <f t="shared" si="1"/>
        <v>0.20000000000000012</v>
      </c>
    </row>
    <row r="41" spans="2:3" x14ac:dyDescent="0.35">
      <c r="B41" s="51">
        <f t="shared" si="0"/>
        <v>1.6739130434782623</v>
      </c>
      <c r="C41" s="50">
        <f t="shared" si="1"/>
        <v>0.20500000000000013</v>
      </c>
    </row>
    <row r="42" spans="2:3" x14ac:dyDescent="0.35">
      <c r="B42" s="51">
        <f t="shared" si="0"/>
        <v>1.7336956521739146</v>
      </c>
      <c r="C42" s="50">
        <f t="shared" si="1"/>
        <v>0.21000000000000013</v>
      </c>
    </row>
    <row r="43" spans="2:3" x14ac:dyDescent="0.35">
      <c r="B43" s="51">
        <f t="shared" si="0"/>
        <v>1.793478260869567</v>
      </c>
      <c r="C43" s="50">
        <f t="shared" si="1"/>
        <v>0.21500000000000014</v>
      </c>
    </row>
    <row r="44" spans="2:3" x14ac:dyDescent="0.35">
      <c r="B44" s="51">
        <f t="shared" si="0"/>
        <v>1.8532608695652191</v>
      </c>
      <c r="C44" s="50">
        <f t="shared" si="1"/>
        <v>0.22000000000000014</v>
      </c>
    </row>
    <row r="45" spans="2:3" x14ac:dyDescent="0.35">
      <c r="B45" s="51">
        <f t="shared" si="0"/>
        <v>1.9130434782608714</v>
      </c>
      <c r="C45" s="50">
        <f t="shared" si="1"/>
        <v>0.22500000000000014</v>
      </c>
    </row>
    <row r="46" spans="2:3" x14ac:dyDescent="0.35">
      <c r="B46" s="51">
        <f t="shared" si="0"/>
        <v>1.9728260869565235</v>
      </c>
      <c r="C46" s="50">
        <f t="shared" si="1"/>
        <v>0.23000000000000015</v>
      </c>
    </row>
    <row r="47" spans="2:3" x14ac:dyDescent="0.35">
      <c r="B47" s="51">
        <f t="shared" si="0"/>
        <v>2.0326086956521756</v>
      </c>
      <c r="C47" s="50">
        <f t="shared" si="1"/>
        <v>0.23500000000000015</v>
      </c>
    </row>
    <row r="48" spans="2:3" x14ac:dyDescent="0.35">
      <c r="B48" s="51">
        <f t="shared" si="0"/>
        <v>2.0923913043478279</v>
      </c>
      <c r="C48" s="50">
        <f t="shared" si="1"/>
        <v>0.24000000000000016</v>
      </c>
    </row>
    <row r="49" spans="2:3" x14ac:dyDescent="0.35">
      <c r="B49" s="51">
        <f t="shared" si="0"/>
        <v>2.1521739130434803</v>
      </c>
      <c r="C49" s="50">
        <f t="shared" si="1"/>
        <v>0.24500000000000016</v>
      </c>
    </row>
    <row r="50" spans="2:3" x14ac:dyDescent="0.35">
      <c r="B50" s="51">
        <f t="shared" si="0"/>
        <v>2.2119565217391326</v>
      </c>
      <c r="C50" s="50">
        <f t="shared" si="1"/>
        <v>0.25000000000000017</v>
      </c>
    </row>
    <row r="51" spans="2:3" x14ac:dyDescent="0.35">
      <c r="B51" s="51">
        <f t="shared" si="0"/>
        <v>2.2717391304347845</v>
      </c>
      <c r="C51" s="50">
        <f t="shared" si="1"/>
        <v>0.25500000000000017</v>
      </c>
    </row>
    <row r="52" spans="2:3" x14ac:dyDescent="0.35">
      <c r="B52" s="52">
        <f t="shared" si="0"/>
        <v>2.3315217391304368</v>
      </c>
      <c r="C52" s="48">
        <f t="shared" si="1"/>
        <v>0.26000000000000018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657-4125-42A9-B0FE-8938A6388C96}">
  <dimension ref="A1:B35"/>
  <sheetViews>
    <sheetView tabSelected="1" workbookViewId="0">
      <selection activeCell="A8" sqref="A8"/>
    </sheetView>
  </sheetViews>
  <sheetFormatPr defaultRowHeight="13.5" x14ac:dyDescent="0.35"/>
  <cols>
    <col min="1" max="1" width="62.46484375" style="39" bestFit="1" customWidth="1"/>
    <col min="2" max="2" width="23.6640625" style="39" bestFit="1" customWidth="1"/>
    <col min="3" max="16384" width="9.06640625" style="39"/>
  </cols>
  <sheetData>
    <row r="1" spans="1:2" ht="17.25" x14ac:dyDescent="0.45">
      <c r="A1" s="53" t="s">
        <v>217</v>
      </c>
      <c r="B1" s="54">
        <v>250</v>
      </c>
    </row>
    <row r="2" spans="1:2" ht="17.25" x14ac:dyDescent="0.45">
      <c r="A2" s="53" t="s">
        <v>218</v>
      </c>
      <c r="B2" s="55">
        <v>18000000000</v>
      </c>
    </row>
    <row r="3" spans="1:2" ht="17.25" x14ac:dyDescent="0.45">
      <c r="A3" s="53" t="s">
        <v>219</v>
      </c>
      <c r="B3" s="55">
        <f>B1*B2</f>
        <v>4500000000000</v>
      </c>
    </row>
    <row r="4" spans="1:2" ht="17.25" x14ac:dyDescent="0.45">
      <c r="A4" s="53" t="s">
        <v>220</v>
      </c>
      <c r="B4" s="53"/>
    </row>
    <row r="5" spans="1:2" ht="17.649999999999999" x14ac:dyDescent="0.5">
      <c r="A5" s="56" t="s">
        <v>221</v>
      </c>
      <c r="B5" s="53"/>
    </row>
    <row r="6" spans="1:2" ht="17.25" x14ac:dyDescent="0.45">
      <c r="A6" s="57" t="s">
        <v>222</v>
      </c>
      <c r="B6" s="55">
        <f>1%*B3</f>
        <v>45000000000</v>
      </c>
    </row>
    <row r="7" spans="1:2" ht="17.25" x14ac:dyDescent="0.45">
      <c r="A7" s="57" t="s">
        <v>223</v>
      </c>
      <c r="B7" s="55">
        <f>0.25%*B3</f>
        <v>11250000000</v>
      </c>
    </row>
    <row r="8" spans="1:2" ht="17.25" x14ac:dyDescent="0.45">
      <c r="A8" s="57" t="s">
        <v>224</v>
      </c>
      <c r="B8" s="55">
        <f>B6+B7</f>
        <v>56250000000</v>
      </c>
    </row>
    <row r="9" spans="1:2" ht="17.25" x14ac:dyDescent="0.45">
      <c r="A9" s="53" t="s">
        <v>225</v>
      </c>
      <c r="B9" s="58">
        <f>B3-B8</f>
        <v>4443750000000</v>
      </c>
    </row>
    <row r="10" spans="1:2" ht="17.25" x14ac:dyDescent="0.45">
      <c r="A10" s="53"/>
      <c r="B10" s="58"/>
    </row>
    <row r="11" spans="1:2" ht="17.25" x14ac:dyDescent="0.45">
      <c r="A11" s="53"/>
      <c r="B11" s="53"/>
    </row>
    <row r="12" spans="1:2" ht="17.649999999999999" x14ac:dyDescent="0.5">
      <c r="A12" s="56" t="s">
        <v>226</v>
      </c>
      <c r="B12" s="53"/>
    </row>
    <row r="13" spans="1:2" ht="17.25" x14ac:dyDescent="0.45">
      <c r="A13" s="57" t="s">
        <v>227</v>
      </c>
      <c r="B13" s="58">
        <f>B6</f>
        <v>45000000000</v>
      </c>
    </row>
    <row r="14" spans="1:2" ht="17.25" x14ac:dyDescent="0.45">
      <c r="A14" s="57" t="s">
        <v>228</v>
      </c>
      <c r="B14" s="53"/>
    </row>
    <row r="15" spans="1:2" ht="17.25" x14ac:dyDescent="0.45">
      <c r="A15" s="53" t="s">
        <v>229</v>
      </c>
      <c r="B15" s="54">
        <v>289</v>
      </c>
    </row>
    <row r="16" spans="1:2" ht="17.25" x14ac:dyDescent="0.45">
      <c r="A16" s="53" t="s">
        <v>230</v>
      </c>
      <c r="B16" s="54">
        <f>B1</f>
        <v>250</v>
      </c>
    </row>
    <row r="17" spans="1:2" ht="17.25" x14ac:dyDescent="0.45">
      <c r="A17" s="53" t="s">
        <v>231</v>
      </c>
      <c r="B17" s="54">
        <f>B15-B16</f>
        <v>39</v>
      </c>
    </row>
    <row r="18" spans="1:2" ht="17.25" x14ac:dyDescent="0.45">
      <c r="A18" s="53" t="s">
        <v>232</v>
      </c>
      <c r="B18" s="58">
        <f>B2</f>
        <v>18000000000</v>
      </c>
    </row>
    <row r="19" spans="1:2" ht="17.25" x14ac:dyDescent="0.45">
      <c r="A19" s="53" t="s">
        <v>233</v>
      </c>
      <c r="B19" s="58">
        <f>B17*B18</f>
        <v>702000000000</v>
      </c>
    </row>
    <row r="20" spans="1:2" ht="17.649999999999999" x14ac:dyDescent="0.5">
      <c r="A20" s="59" t="s">
        <v>234</v>
      </c>
      <c r="B20" s="60">
        <f>B13+B19</f>
        <v>747000000000</v>
      </c>
    </row>
    <row r="21" spans="1:2" ht="17.25" x14ac:dyDescent="0.45">
      <c r="A21" s="53"/>
      <c r="B21" s="53"/>
    </row>
    <row r="22" spans="1:2" ht="17.25" x14ac:dyDescent="0.45">
      <c r="A22" s="53"/>
      <c r="B22" s="53"/>
    </row>
    <row r="23" spans="1:2" ht="17.649999999999999" x14ac:dyDescent="0.5">
      <c r="A23" s="56" t="s">
        <v>235</v>
      </c>
      <c r="B23" s="53"/>
    </row>
    <row r="24" spans="1:2" ht="17.25" x14ac:dyDescent="0.45">
      <c r="A24" s="57" t="s">
        <v>236</v>
      </c>
      <c r="B24" s="58">
        <f>B7</f>
        <v>11250000000</v>
      </c>
    </row>
    <row r="25" spans="1:2" ht="17.25" x14ac:dyDescent="0.45">
      <c r="A25" s="57" t="s">
        <v>237</v>
      </c>
      <c r="B25" s="53"/>
    </row>
    <row r="26" spans="1:2" ht="17.25" x14ac:dyDescent="0.45">
      <c r="A26" s="53" t="s">
        <v>238</v>
      </c>
      <c r="B26" s="54">
        <v>300</v>
      </c>
    </row>
    <row r="27" spans="1:2" ht="17.25" x14ac:dyDescent="0.45">
      <c r="A27" s="53" t="s">
        <v>229</v>
      </c>
      <c r="B27" s="54">
        <f>B15</f>
        <v>289</v>
      </c>
    </row>
    <row r="28" spans="1:2" ht="17.25" x14ac:dyDescent="0.45">
      <c r="A28" s="53" t="s">
        <v>239</v>
      </c>
      <c r="B28" s="54">
        <f>B26-B27</f>
        <v>11</v>
      </c>
    </row>
    <row r="29" spans="1:2" ht="17.25" x14ac:dyDescent="0.45">
      <c r="A29" s="53" t="s">
        <v>232</v>
      </c>
      <c r="B29" s="58">
        <f>B2</f>
        <v>18000000000</v>
      </c>
    </row>
    <row r="30" spans="1:2" ht="17.25" x14ac:dyDescent="0.45">
      <c r="A30" s="53" t="s">
        <v>240</v>
      </c>
      <c r="B30" s="58">
        <f>B28*B29</f>
        <v>198000000000</v>
      </c>
    </row>
    <row r="31" spans="1:2" ht="17.649999999999999" x14ac:dyDescent="0.5">
      <c r="A31" s="59" t="s">
        <v>241</v>
      </c>
      <c r="B31" s="60">
        <f>B24+B30</f>
        <v>209250000000</v>
      </c>
    </row>
    <row r="32" spans="1:2" ht="17.25" x14ac:dyDescent="0.45">
      <c r="A32" s="53"/>
      <c r="B32" s="53"/>
    </row>
    <row r="33" spans="1:2" ht="17.649999999999999" x14ac:dyDescent="0.5">
      <c r="A33" s="59" t="s">
        <v>242</v>
      </c>
      <c r="B33" s="53"/>
    </row>
    <row r="34" spans="1:2" ht="17.649999999999999" x14ac:dyDescent="0.5">
      <c r="A34" s="59" t="s">
        <v>243</v>
      </c>
      <c r="B34" s="60">
        <f>B20+B31</f>
        <v>956250000000</v>
      </c>
    </row>
    <row r="35" spans="1:2" ht="17.649999999999999" x14ac:dyDescent="0.5">
      <c r="A35" s="59" t="s">
        <v>244</v>
      </c>
      <c r="B35" s="61">
        <f>B34/B9</f>
        <v>0.21518987341772153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WACC</vt:lpstr>
      <vt:lpstr>Income &amp; Cash Flow</vt:lpstr>
      <vt:lpstr>NPV Analysis</vt:lpstr>
      <vt:lpstr>Break-Even &amp; DOL</vt:lpstr>
      <vt:lpstr>Summary Dashboard</vt:lpstr>
      <vt:lpstr>SML</vt:lpstr>
      <vt:lpstr>Flotation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Keuangan</cp:lastModifiedBy>
  <cp:revision>0</cp:revision>
  <dcterms:created xsi:type="dcterms:W3CDTF">2026-05-22T11:47:41Z</dcterms:created>
  <dcterms:modified xsi:type="dcterms:W3CDTF">2026-05-23T03:12:19Z</dcterms:modified>
  <dc:language>en-US</dc:language>
</cp:coreProperties>
</file>