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5"/>
    <sheet state="visible" name="Scenario" sheetId="2" r:id="rId6"/>
    <sheet state="visible" name="IRR" sheetId="3" r:id="rId7"/>
    <sheet state="visible" name="EBITDA -10" sheetId="4" r:id="rId8"/>
    <sheet state="visible" name="Salvage value -10" sheetId="5" r:id="rId9"/>
    <sheet state="visible" name="Salvage value +10" sheetId="6" r:id="rId10"/>
    <sheet state="visible" name="EBITDA +10" sheetId="7" r:id="rId11"/>
    <sheet state="visible" name="Cost overrun -10" sheetId="8" r:id="rId12"/>
    <sheet state="visible" name="Cost overrun +10" sheetId="9" r:id="rId13"/>
  </sheets>
  <definedNames/>
  <calcPr/>
</workbook>
</file>

<file path=xl/sharedStrings.xml><?xml version="1.0" encoding="utf-8"?>
<sst xmlns="http://schemas.openxmlformats.org/spreadsheetml/2006/main" count="431" uniqueCount="66">
  <si>
    <r>
      <rPr>
        <rFont val="Verdana"/>
        <color theme="1"/>
        <sz val="8.0"/>
      </rPr>
      <t xml:space="preserve">Speed  Motor Inc. tengah mempertimbangkan untuk membangun fasilitas pabrik baru. Dana yang dibutuhkan untuk membeli (termasuk biaya pengiriman) mesin-mesin diperkirakan mencapai $ 10 juta. Harga beli diatas termasuk biaya pengiriman dan biaya instalasi mesin-mesin sampai dapat digunakan untuk operasional perusahaan. Namun biaya tersebut tidak termasuk biaya untuk </t>
    </r>
    <r>
      <rPr>
        <rFont val="Verdana"/>
        <color rgb="FFFF0000"/>
        <sz val="8.0"/>
      </rPr>
      <t>melatih karyawan bagian produksi</t>
    </r>
    <r>
      <rPr>
        <rFont val="Verdana"/>
        <color theme="1"/>
        <sz val="8.0"/>
      </rPr>
      <t xml:space="preserve"> yang diperkirakan mencapai  $200.000. Kebutuhan modal kerja diperkirakan sebesar $ 1 juta.  </t>
    </r>
    <r>
      <rPr>
        <rFont val="Verdana"/>
        <color rgb="FFFF0000"/>
        <sz val="8.0"/>
      </rPr>
      <t>Fasilitas pabrik akan dibangun diatas lahan perusahaan yang dibeli lima tahun lalu seharga $ 1 juta.</t>
    </r>
    <r>
      <rPr>
        <rFont val="Verdana"/>
        <color theme="1"/>
        <sz val="8.0"/>
      </rPr>
      <t xml:space="preserve"> </t>
    </r>
    <r>
      <rPr>
        <rFont val="Verdana"/>
        <color rgb="FF4A86E8"/>
        <sz val="8.0"/>
      </rPr>
      <t>Harga pasar lahan tersebut sekarang diperkirakan mencapai $ 2 juta</t>
    </r>
    <r>
      <rPr>
        <rFont val="Verdana"/>
        <color theme="1"/>
        <sz val="8.0"/>
      </rPr>
      <t xml:space="preserve">, dan akan bernilai $ 3 juta pada lima tahun yang akan datang dan $ 4 juta sepuluh tahun yang akan datang. </t>
    </r>
    <r>
      <rPr>
        <rFont val="Verdana"/>
        <color rgb="FFFF00FF"/>
        <sz val="8.0"/>
      </rPr>
      <t xml:space="preserve"> Mesin baru ini dapat digunakan sampai sepuluh tahun, namun perusahaan melihat bahwa setelah lima tahun, teknologi yang digunakan akan usang secara ekonomis.</t>
    </r>
    <r>
      <rPr>
        <rFont val="Verdana"/>
        <color theme="1"/>
        <sz val="8.0"/>
      </rPr>
      <t xml:space="preserve"> Setelah lima tahun perusahaan merencanakan akan mengganti mesin baru, dan pada akhir tahun kelima tersebut mesin diperkirakan masih dapat dijual seharga $ 3 juta. Operasionalisasi mesin baru diperkirakan akan menciptakan penjualan baru yang akan menghasilkan EBITDA (earning before interest, tax, depreciation and amortization)   $ 4 juta / thn. Metode penyusutan yang digunakan adalah garis lurus tanpa nilai sisa.  Tingkat pajak marjinal perusahaan adalah 22 %. Hitunglah:
Hitunglah (1) IO, (2) Annual CF, (3) terminal CF, (4) IRR proyek</t>
    </r>
  </si>
  <si>
    <t>Base Case</t>
  </si>
  <si>
    <t>Worst Case</t>
  </si>
  <si>
    <t>Best Case</t>
  </si>
  <si>
    <t>EBITDA:  4.000.000</t>
  </si>
  <si>
    <t>EBITDA: Turun menjadi  2.500.000 (permintaan pasar lesu).</t>
  </si>
  <si>
    <t>EBITDA: Naik menjadi  5.500.000.</t>
  </si>
  <si>
    <t>IO:  13.156.000</t>
  </si>
  <si>
    <t>Initial Outlay: Membengkak menjadi  15.000.000 (biaya impor mesin naik karena kurs).</t>
  </si>
  <si>
    <t>Initial Outlay: Tetap atau lebih efisien di  12.500.000.</t>
  </si>
  <si>
    <t>Salvage Mesin:  3.000.000</t>
  </si>
  <si>
    <t>Salvage Value: Harga mesin bekas jatuh ke  1.000.000 dan harga lahan stagnan di  2.000.000.</t>
  </si>
  <si>
    <t>Salvage Value: Harga lahan melonjak ke  4.500.000 di tahun ke-5.</t>
  </si>
  <si>
    <t>CAPEX</t>
  </si>
  <si>
    <t>USD</t>
  </si>
  <si>
    <t>Nilai tanah</t>
  </si>
  <si>
    <t>Biaya pelatihan awal</t>
  </si>
  <si>
    <t>Y-5</t>
  </si>
  <si>
    <t>--- sunk cost</t>
  </si>
  <si>
    <t>Modal kerja</t>
  </si>
  <si>
    <t>Y</t>
  </si>
  <si>
    <t>Masa manfaat</t>
  </si>
  <si>
    <t>tahun</t>
  </si>
  <si>
    <t>Y+5</t>
  </si>
  <si>
    <t>EBITDA/tahun</t>
  </si>
  <si>
    <t>Y+10</t>
  </si>
  <si>
    <t>Tarif pajak</t>
  </si>
  <si>
    <t>Discount rate</t>
  </si>
  <si>
    <t>EBITDA</t>
  </si>
  <si>
    <t>Depresiasi</t>
  </si>
  <si>
    <t>EBIT</t>
  </si>
  <si>
    <t>Bunga</t>
  </si>
  <si>
    <t>EBT</t>
  </si>
  <si>
    <t>PPh</t>
  </si>
  <si>
    <t>Laba neto</t>
  </si>
  <si>
    <t>Added back depresiasi</t>
  </si>
  <si>
    <t>Operating cash flow</t>
  </si>
  <si>
    <t>Terminal cash flow</t>
  </si>
  <si>
    <t>Cash flow</t>
  </si>
  <si>
    <t>IRR</t>
  </si>
  <si>
    <t>Sensitivity Analysis on IRR</t>
  </si>
  <si>
    <t>Salvage</t>
  </si>
  <si>
    <t>-10%</t>
  </si>
  <si>
    <t>Base</t>
  </si>
  <si>
    <t>+10%</t>
  </si>
  <si>
    <t>Effect</t>
  </si>
  <si>
    <t>Initial outlay:</t>
  </si>
  <si>
    <t>-</t>
  </si>
  <si>
    <t>Pembelian tanah</t>
  </si>
  <si>
    <t>Tax benefit atas biaya pelatihan</t>
  </si>
  <si>
    <t>Opportunity cost tanah</t>
  </si>
  <si>
    <t>Total initial outlay</t>
  </si>
  <si>
    <t>Terminal cash flow:</t>
  </si>
  <si>
    <t>Harga beli mesin</t>
  </si>
  <si>
    <t>Akumulasi depresasi tahun ke-5</t>
  </si>
  <si>
    <t>Nilai sisa</t>
  </si>
  <si>
    <t>Harga jual mesin</t>
  </si>
  <si>
    <t>Keuntungan dari penjualan bruto</t>
  </si>
  <si>
    <t>Pajak atas keuntungan dari penjualan mesin</t>
  </si>
  <si>
    <t>Keuntungan dari penjualan neto</t>
  </si>
  <si>
    <t>Pengembalian investasi modal kerja</t>
  </si>
  <si>
    <t>Pengembalian investasi lahan</t>
  </si>
  <si>
    <t>Total terminal cash flow</t>
  </si>
  <si>
    <t>Sensitivty variable:</t>
  </si>
  <si>
    <t>Initial outlay (cost overrun)</t>
  </si>
  <si>
    <t>Salvage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</si>
</sst>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);[Red]-#,##0_)"/>
  </numFmts>
  <fonts count="4">
    <font>
      <sz val="10.0"/>
      <color rgb="FF000000"/>
      <name val="Arial"/>
      <scheme val="minor"/>
    </font>
    <font>
      <sz val="8.0"/>
      <color theme="1"/>
      <name val="Verdana"/>
    </font>
    <font>
      <sz val="9.0"/>
      <color theme="1"/>
      <name val="Verdana"/>
    </font>
    <font>
      <b/>
      <sz val="8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right style="hair">
        <color rgb="FF000000"/>
      </right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horizontal="right"/>
    </xf>
    <xf borderId="0" fillId="0" fontId="1" numFmtId="164" xfId="0" applyFont="1" applyNumberFormat="1"/>
    <xf borderId="2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3" fillId="0" fontId="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3" fillId="0" fontId="1" numFmtId="0" xfId="0" applyBorder="1" applyFont="1"/>
    <xf borderId="4" fillId="0" fontId="1" numFmtId="0" xfId="0" applyAlignment="1" applyBorder="1" applyFont="1">
      <alignment readingOrder="0"/>
    </xf>
    <xf borderId="5" fillId="0" fontId="1" numFmtId="9" xfId="0" applyAlignment="1" applyBorder="1" applyFont="1" applyNumberFormat="1">
      <alignment readingOrder="0"/>
    </xf>
    <xf borderId="6" fillId="3" fontId="1" numFmtId="0" xfId="0" applyAlignment="1" applyBorder="1" applyFill="1" applyFont="1">
      <alignment horizontal="center"/>
    </xf>
    <xf borderId="6" fillId="3" fontId="1" numFmtId="164" xfId="0" applyAlignment="1" applyBorder="1" applyFont="1" applyNumberFormat="1">
      <alignment horizontal="center" readingOrder="0"/>
    </xf>
    <xf borderId="6" fillId="3" fontId="1" numFmtId="0" xfId="0" applyAlignment="1" applyBorder="1" applyFont="1">
      <alignment horizontal="center" readingOrder="0"/>
    </xf>
    <xf borderId="2" fillId="0" fontId="1" numFmtId="164" xfId="0" applyBorder="1" applyFont="1" applyNumberFormat="1"/>
    <xf borderId="6" fillId="0" fontId="1" numFmtId="0" xfId="0" applyAlignment="1" applyBorder="1" applyFont="1">
      <alignment readingOrder="0"/>
    </xf>
    <xf borderId="6" fillId="0" fontId="1" numFmtId="164" xfId="0" applyBorder="1" applyFont="1" applyNumberFormat="1"/>
    <xf borderId="2" fillId="0" fontId="1" numFmtId="10" xfId="0" applyBorder="1" applyFont="1" applyNumberFormat="1"/>
    <xf borderId="0" fillId="0" fontId="1" numFmtId="10" xfId="0" applyFont="1" applyNumberFormat="1"/>
    <xf borderId="3" fillId="0" fontId="3" numFmtId="0" xfId="0" applyAlignment="1" applyBorder="1" applyFont="1">
      <alignment readingOrder="0"/>
    </xf>
    <xf borderId="7" fillId="0" fontId="1" numFmtId="164" xfId="0" applyBorder="1" applyFont="1" applyNumberFormat="1"/>
    <xf quotePrefix="1" borderId="0" fillId="0" fontId="1" numFmtId="0" xfId="0" applyAlignment="1" applyFont="1">
      <alignment horizontal="right" readingOrder="0"/>
    </xf>
    <xf borderId="7" fillId="0" fontId="1" numFmtId="164" xfId="0" applyAlignment="1" applyBorder="1" applyFont="1" applyNumberFormat="1">
      <alignment readingOrder="0"/>
    </xf>
    <xf borderId="8" fillId="0" fontId="1" numFmtId="0" xfId="0" applyAlignment="1" applyBorder="1" applyFont="1">
      <alignment readingOrder="0"/>
    </xf>
    <xf borderId="9" fillId="0" fontId="1" numFmtId="164" xfId="0" applyBorder="1" applyFont="1" applyNumberFormat="1"/>
    <xf borderId="10" fillId="0" fontId="1" numFmtId="164" xfId="0" applyBorder="1" applyFont="1" applyNumberFormat="1"/>
    <xf borderId="9" fillId="0" fontId="1" numFmtId="164" xfId="0" applyAlignment="1" applyBorder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63.1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23.63"/>
    <col customWidth="1" min="3" max="3" width="75.13"/>
    <col customWidth="1" min="4" max="4" width="52.75"/>
  </cols>
  <sheetData>
    <row r="1" ht="12.75" customHeight="1">
      <c r="A1" s="3"/>
      <c r="B1" s="4"/>
      <c r="C1" s="4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3"/>
      <c r="B2" s="5" t="s">
        <v>1</v>
      </c>
      <c r="C2" s="5" t="s">
        <v>2</v>
      </c>
      <c r="D2" s="5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3"/>
      <c r="B3" s="6" t="s">
        <v>4</v>
      </c>
      <c r="C3" s="6" t="s">
        <v>5</v>
      </c>
      <c r="D3" s="6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/>
      <c r="B4" s="6" t="s">
        <v>7</v>
      </c>
      <c r="C4" s="6" t="s">
        <v>8</v>
      </c>
      <c r="D4" s="6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3"/>
      <c r="B5" s="6" t="s">
        <v>10</v>
      </c>
      <c r="C5" s="6" t="s">
        <v>11</v>
      </c>
      <c r="D5" s="6" t="s">
        <v>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63"/>
    <col customWidth="1" min="3" max="3" width="13.25"/>
  </cols>
  <sheetData>
    <row r="1" ht="12.0" customHeight="1">
      <c r="A1" s="7"/>
      <c r="B1" s="1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7"/>
      <c r="B2" s="9" t="s">
        <v>13</v>
      </c>
      <c r="C2" s="10">
        <v>1.0E7</v>
      </c>
      <c r="D2" s="11" t="s">
        <v>14</v>
      </c>
      <c r="E2" s="1"/>
      <c r="F2" s="12" t="s">
        <v>15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7"/>
      <c r="B3" s="9" t="s">
        <v>16</v>
      </c>
      <c r="C3" s="10">
        <v>200000.0</v>
      </c>
      <c r="D3" s="11" t="s">
        <v>14</v>
      </c>
      <c r="E3" s="1"/>
      <c r="F3" s="13" t="s">
        <v>17</v>
      </c>
      <c r="G3" s="10">
        <v>1000000.0</v>
      </c>
      <c r="H3" s="14" t="s">
        <v>18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7"/>
      <c r="B4" s="9" t="s">
        <v>19</v>
      </c>
      <c r="C4" s="10">
        <v>1000000.0</v>
      </c>
      <c r="D4" s="11" t="s">
        <v>14</v>
      </c>
      <c r="E4" s="1"/>
      <c r="F4" s="13" t="s">
        <v>20</v>
      </c>
      <c r="G4" s="10">
        <v>2000000.0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7"/>
      <c r="B5" s="9" t="s">
        <v>21</v>
      </c>
      <c r="C5" s="10">
        <v>5.0</v>
      </c>
      <c r="D5" s="11" t="s">
        <v>22</v>
      </c>
      <c r="E5" s="1"/>
      <c r="F5" s="13" t="s">
        <v>23</v>
      </c>
      <c r="G5" s="10">
        <v>3000000.0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9" t="s">
        <v>24</v>
      </c>
      <c r="C6" s="10">
        <v>4000000.0</v>
      </c>
      <c r="D6" s="11" t="s">
        <v>14</v>
      </c>
      <c r="E6" s="1"/>
      <c r="F6" s="13" t="s">
        <v>25</v>
      </c>
      <c r="G6" s="10">
        <v>4000000.0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7"/>
      <c r="B7" s="9" t="s">
        <v>26</v>
      </c>
      <c r="C7" s="15">
        <v>0.22</v>
      </c>
      <c r="D7" s="1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7"/>
      <c r="B8" s="17" t="s">
        <v>27</v>
      </c>
      <c r="C8" s="18">
        <v>0.25</v>
      </c>
      <c r="D8" s="1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7"/>
      <c r="B9" s="1"/>
      <c r="C9" s="8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7"/>
      <c r="B10" s="1"/>
      <c r="C10" s="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7"/>
      <c r="B11" s="19"/>
      <c r="C11" s="20">
        <v>0.0</v>
      </c>
      <c r="D11" s="21">
        <v>1.0</v>
      </c>
      <c r="E11" s="21">
        <v>2.0</v>
      </c>
      <c r="F11" s="21">
        <v>3.0</v>
      </c>
      <c r="G11" s="21">
        <v>4.0</v>
      </c>
      <c r="H11" s="21">
        <v>5.0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7"/>
      <c r="B12" s="9" t="s">
        <v>28</v>
      </c>
      <c r="C12" s="22"/>
      <c r="D12" s="22">
        <f t="shared" ref="D12:H12" si="1">$C$6</f>
        <v>4000000</v>
      </c>
      <c r="E12" s="22">
        <f t="shared" si="1"/>
        <v>4000000</v>
      </c>
      <c r="F12" s="22">
        <f t="shared" si="1"/>
        <v>4000000</v>
      </c>
      <c r="G12" s="22">
        <f t="shared" si="1"/>
        <v>4000000</v>
      </c>
      <c r="H12" s="22">
        <f t="shared" si="1"/>
        <v>4000000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7"/>
      <c r="B13" s="23" t="s">
        <v>29</v>
      </c>
      <c r="C13" s="24"/>
      <c r="D13" s="24">
        <f t="shared" ref="D13:H13" si="2">-$C$2/$C$5</f>
        <v>-2000000</v>
      </c>
      <c r="E13" s="24">
        <f t="shared" si="2"/>
        <v>-2000000</v>
      </c>
      <c r="F13" s="24">
        <f t="shared" si="2"/>
        <v>-2000000</v>
      </c>
      <c r="G13" s="24">
        <f t="shared" si="2"/>
        <v>-2000000</v>
      </c>
      <c r="H13" s="24">
        <f t="shared" si="2"/>
        <v>-2000000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7"/>
      <c r="B14" s="9" t="s">
        <v>30</v>
      </c>
      <c r="C14" s="22"/>
      <c r="D14" s="22">
        <f t="shared" ref="D14:H14" si="3">sum(D12:D13)</f>
        <v>2000000</v>
      </c>
      <c r="E14" s="22">
        <f t="shared" si="3"/>
        <v>2000000</v>
      </c>
      <c r="F14" s="22">
        <f t="shared" si="3"/>
        <v>2000000</v>
      </c>
      <c r="G14" s="22">
        <f t="shared" si="3"/>
        <v>2000000</v>
      </c>
      <c r="H14" s="22">
        <f t="shared" si="3"/>
        <v>2000000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7"/>
      <c r="B15" s="23" t="s">
        <v>31</v>
      </c>
      <c r="C15" s="24"/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7"/>
      <c r="B16" s="9" t="s">
        <v>32</v>
      </c>
      <c r="C16" s="22"/>
      <c r="D16" s="22">
        <f t="shared" ref="D16:H16" si="4">sum(D14:D15)</f>
        <v>2000000</v>
      </c>
      <c r="E16" s="22">
        <f t="shared" si="4"/>
        <v>2000000</v>
      </c>
      <c r="F16" s="22">
        <f t="shared" si="4"/>
        <v>2000000</v>
      </c>
      <c r="G16" s="22">
        <f t="shared" si="4"/>
        <v>2000000</v>
      </c>
      <c r="H16" s="22">
        <f t="shared" si="4"/>
        <v>2000000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7"/>
      <c r="B17" s="23" t="s">
        <v>33</v>
      </c>
      <c r="C17" s="24"/>
      <c r="D17" s="24">
        <f t="shared" ref="D17:H17" si="5">-$C$7*D16</f>
        <v>-440000</v>
      </c>
      <c r="E17" s="24">
        <f t="shared" si="5"/>
        <v>-440000</v>
      </c>
      <c r="F17" s="24">
        <f t="shared" si="5"/>
        <v>-440000</v>
      </c>
      <c r="G17" s="24">
        <f t="shared" si="5"/>
        <v>-440000</v>
      </c>
      <c r="H17" s="24">
        <f t="shared" si="5"/>
        <v>-440000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7"/>
      <c r="B18" s="9" t="s">
        <v>34</v>
      </c>
      <c r="C18" s="22"/>
      <c r="D18" s="22">
        <f t="shared" ref="D18:H18" si="6">sum(D16:D17)</f>
        <v>1560000</v>
      </c>
      <c r="E18" s="22">
        <f t="shared" si="6"/>
        <v>1560000</v>
      </c>
      <c r="F18" s="22">
        <f t="shared" si="6"/>
        <v>1560000</v>
      </c>
      <c r="G18" s="22">
        <f t="shared" si="6"/>
        <v>1560000</v>
      </c>
      <c r="H18" s="22">
        <f t="shared" si="6"/>
        <v>1560000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7"/>
      <c r="B19" s="23" t="s">
        <v>35</v>
      </c>
      <c r="C19" s="24"/>
      <c r="D19" s="24">
        <f t="shared" ref="D19:H19" si="7">-D13</f>
        <v>2000000</v>
      </c>
      <c r="E19" s="24">
        <f t="shared" si="7"/>
        <v>2000000</v>
      </c>
      <c r="F19" s="24">
        <f t="shared" si="7"/>
        <v>2000000</v>
      </c>
      <c r="G19" s="24">
        <f t="shared" si="7"/>
        <v>2000000</v>
      </c>
      <c r="H19" s="24">
        <f t="shared" si="7"/>
        <v>2000000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7"/>
      <c r="B20" s="9" t="s">
        <v>36</v>
      </c>
      <c r="C20" s="22"/>
      <c r="D20" s="22">
        <f t="shared" ref="D20:H20" si="8">sum(D18:D19)</f>
        <v>3560000</v>
      </c>
      <c r="E20" s="22">
        <f t="shared" si="8"/>
        <v>3560000</v>
      </c>
      <c r="F20" s="22">
        <f t="shared" si="8"/>
        <v>3560000</v>
      </c>
      <c r="G20" s="22">
        <f t="shared" si="8"/>
        <v>3560000</v>
      </c>
      <c r="H20" s="22">
        <f t="shared" si="8"/>
        <v>3560000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7"/>
      <c r="B21" s="23" t="s">
        <v>37</v>
      </c>
      <c r="C21" s="24"/>
      <c r="D21" s="24"/>
      <c r="E21" s="24"/>
      <c r="F21" s="24"/>
      <c r="G21" s="24"/>
      <c r="H21" s="24">
        <f>C57</f>
        <v>6340000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7"/>
      <c r="B22" s="9" t="s">
        <v>38</v>
      </c>
      <c r="C22" s="22">
        <f>C44</f>
        <v>-13156000</v>
      </c>
      <c r="D22" s="22">
        <f t="shared" ref="D22:H22" si="9">sum(D20:D21)</f>
        <v>3560000</v>
      </c>
      <c r="E22" s="22">
        <f t="shared" si="9"/>
        <v>3560000</v>
      </c>
      <c r="F22" s="22">
        <f t="shared" si="9"/>
        <v>3560000</v>
      </c>
      <c r="G22" s="22">
        <f t="shared" si="9"/>
        <v>3560000</v>
      </c>
      <c r="H22" s="22">
        <f t="shared" si="9"/>
        <v>9900000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7"/>
      <c r="B23" s="9" t="s">
        <v>39</v>
      </c>
      <c r="C23" s="25">
        <f>irr(C22:H22)</f>
        <v>0.2011330188</v>
      </c>
      <c r="D23" s="22"/>
      <c r="E23" s="22"/>
      <c r="F23" s="22"/>
      <c r="G23" s="22"/>
      <c r="H23" s="2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7"/>
      <c r="B24" s="9" t="str">
        <f>"NPV at "&amp;text(C8,"##,00%")</f>
        <v>NPV at 25%</v>
      </c>
      <c r="C24" s="22">
        <f t="array" ref="C24">npv(C8,C22:H22)</f>
        <v>-1203737.6</v>
      </c>
      <c r="D24" s="8"/>
      <c r="E24" s="8"/>
      <c r="F24" s="8"/>
      <c r="G24" s="8"/>
      <c r="H24" s="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7"/>
      <c r="B25" s="1"/>
      <c r="C25" s="8"/>
      <c r="D25" s="8"/>
      <c r="E25" s="8"/>
      <c r="F25" s="8"/>
      <c r="G25" s="8"/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7"/>
      <c r="B26" s="1"/>
      <c r="C26" s="8"/>
      <c r="D26" s="8"/>
      <c r="E26" s="8"/>
      <c r="F26" s="8"/>
      <c r="G26" s="8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7"/>
      <c r="B27" s="12" t="s">
        <v>40</v>
      </c>
      <c r="C27" s="15">
        <v>0.1</v>
      </c>
      <c r="D27" s="8"/>
      <c r="E27" s="8"/>
      <c r="F27" s="8"/>
      <c r="G27" s="8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7"/>
      <c r="B28" s="20"/>
      <c r="C28" s="20" t="s">
        <v>28</v>
      </c>
      <c r="D28" s="20" t="s">
        <v>13</v>
      </c>
      <c r="E28" s="20" t="s">
        <v>41</v>
      </c>
      <c r="F28" s="8"/>
      <c r="G28" s="8"/>
      <c r="H28" s="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7"/>
      <c r="B29" s="14" t="s">
        <v>42</v>
      </c>
      <c r="C29" s="26">
        <f>'EBITDA -10'!C30</f>
        <v>0.1735365085</v>
      </c>
      <c r="D29" s="26">
        <f>'Cost overrun -10'!C30</f>
        <v>0.232540582</v>
      </c>
      <c r="E29" s="26">
        <f>'Salvage value -10'!C30</f>
        <v>0.1975648865</v>
      </c>
      <c r="F29" s="8"/>
      <c r="G29" s="8"/>
      <c r="H29" s="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7"/>
      <c r="B30" s="13" t="s">
        <v>43</v>
      </c>
      <c r="C30" s="26">
        <f>C23</f>
        <v>0.2011330188</v>
      </c>
      <c r="D30" s="26">
        <f>C23</f>
        <v>0.2011330188</v>
      </c>
      <c r="E30" s="26">
        <f>C23</f>
        <v>0.2011330188</v>
      </c>
      <c r="F30" s="8"/>
      <c r="G30" s="8"/>
      <c r="H30" s="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7"/>
      <c r="B31" s="14" t="s">
        <v>44</v>
      </c>
      <c r="C31" s="26">
        <f>'EBITDA +10'!C30</f>
        <v>0.2284760401</v>
      </c>
      <c r="D31" s="26">
        <f>'Cost overrun +10'!C30</f>
        <v>0.1732768544</v>
      </c>
      <c r="E31" s="26">
        <f>'Salvage value +10'!C30</f>
        <v>0.2046476308</v>
      </c>
      <c r="F31" s="8"/>
      <c r="G31" s="8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7"/>
      <c r="B32" s="1"/>
      <c r="C32" s="8"/>
      <c r="D32" s="8"/>
      <c r="E32" s="8"/>
      <c r="F32" s="8"/>
      <c r="G32" s="8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7"/>
      <c r="B33" s="13" t="s">
        <v>45</v>
      </c>
      <c r="C33" s="26">
        <f t="shared" ref="C33:E33" si="10">C29-C30</f>
        <v>-0.02759651035</v>
      </c>
      <c r="D33" s="26">
        <f t="shared" si="10"/>
        <v>0.03140756314</v>
      </c>
      <c r="E33" s="26">
        <f t="shared" si="10"/>
        <v>-0.003568132295</v>
      </c>
      <c r="F33" s="8"/>
      <c r="G33" s="8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7"/>
      <c r="B34" s="13" t="s">
        <v>45</v>
      </c>
      <c r="C34" s="26">
        <f t="shared" ref="C34:E34" si="11">C31-C30</f>
        <v>0.02734302127</v>
      </c>
      <c r="D34" s="26">
        <f t="shared" si="11"/>
        <v>-0.0278561644</v>
      </c>
      <c r="E34" s="26">
        <f t="shared" si="11"/>
        <v>0.003514611935</v>
      </c>
      <c r="F34" s="8"/>
      <c r="G34" s="8"/>
      <c r="H34" s="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7"/>
      <c r="B35" s="1"/>
      <c r="C35" s="8"/>
      <c r="D35" s="8"/>
      <c r="E35" s="8"/>
      <c r="F35" s="8"/>
      <c r="G35" s="8"/>
      <c r="H35" s="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7"/>
      <c r="B36" s="1"/>
      <c r="C36" s="8"/>
      <c r="D36" s="8"/>
      <c r="E36" s="8"/>
      <c r="F36" s="8"/>
      <c r="G36" s="8"/>
      <c r="H36" s="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7"/>
      <c r="B37" s="27" t="s">
        <v>46</v>
      </c>
      <c r="C37" s="2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29" t="s">
        <v>47</v>
      </c>
      <c r="B38" s="11" t="s">
        <v>48</v>
      </c>
      <c r="C38" s="30">
        <v>0.0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29" t="s">
        <v>47</v>
      </c>
      <c r="B39" s="11" t="s">
        <v>13</v>
      </c>
      <c r="C39" s="28">
        <f t="shared" ref="C39:C40" si="12">-C2</f>
        <v>-10000000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29" t="s">
        <v>47</v>
      </c>
      <c r="B40" s="11" t="s">
        <v>16</v>
      </c>
      <c r="C40" s="28">
        <f t="shared" si="12"/>
        <v>-200000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29" t="s">
        <v>47</v>
      </c>
      <c r="B41" s="11" t="s">
        <v>49</v>
      </c>
      <c r="C41" s="28">
        <f>-C7*C40</f>
        <v>44000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29" t="s">
        <v>47</v>
      </c>
      <c r="B42" s="11" t="s">
        <v>19</v>
      </c>
      <c r="C42" s="28">
        <f>-C4</f>
        <v>-1000000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29" t="s">
        <v>47</v>
      </c>
      <c r="B43" s="31" t="s">
        <v>50</v>
      </c>
      <c r="C43" s="32">
        <f>-G4</f>
        <v>-2000000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7"/>
      <c r="B44" s="11" t="s">
        <v>51</v>
      </c>
      <c r="C44" s="28">
        <f>sum(C38:C43)</f>
        <v>-13156000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7"/>
      <c r="B45" s="1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7"/>
      <c r="B46" s="1"/>
      <c r="C46" s="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7"/>
      <c r="B47" s="27" t="s">
        <v>52</v>
      </c>
      <c r="C47" s="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7"/>
      <c r="B48" s="11" t="s">
        <v>53</v>
      </c>
      <c r="C48" s="28">
        <f>C2</f>
        <v>10000000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7"/>
      <c r="B49" s="31" t="s">
        <v>54</v>
      </c>
      <c r="C49" s="28">
        <f>-C2/C5*5</f>
        <v>-10000000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7"/>
      <c r="B50" s="11" t="s">
        <v>55</v>
      </c>
      <c r="C50" s="33">
        <f>sum(C48:C49)</f>
        <v>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7"/>
      <c r="B51" s="31" t="s">
        <v>56</v>
      </c>
      <c r="C51" s="34">
        <v>3000000.0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7"/>
      <c r="B52" s="11" t="s">
        <v>57</v>
      </c>
      <c r="C52" s="28">
        <f>C51-C50</f>
        <v>3000000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7"/>
      <c r="B53" s="31" t="s">
        <v>58</v>
      </c>
      <c r="C53" s="32">
        <f>-C7*C52</f>
        <v>-660000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7"/>
      <c r="B54" s="11" t="s">
        <v>59</v>
      </c>
      <c r="C54" s="28">
        <f>sum(C52:C53)</f>
        <v>2340000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7"/>
      <c r="B55" s="11" t="s">
        <v>60</v>
      </c>
      <c r="C55" s="30">
        <f>C4</f>
        <v>1000000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7"/>
      <c r="B56" s="31" t="s">
        <v>61</v>
      </c>
      <c r="C56" s="32">
        <f>G5</f>
        <v>3000000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7"/>
      <c r="B57" s="11" t="s">
        <v>62</v>
      </c>
      <c r="C57" s="28">
        <f>sum(C54:C56)</f>
        <v>6340000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7"/>
      <c r="B58" s="1"/>
      <c r="C58" s="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7"/>
      <c r="B59" s="1"/>
      <c r="C59" s="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7"/>
      <c r="B60" s="1"/>
      <c r="C60" s="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7"/>
      <c r="B61" s="1"/>
      <c r="C61" s="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7"/>
      <c r="B62" s="1"/>
      <c r="C62" s="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7"/>
      <c r="B63" s="1"/>
      <c r="C63" s="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7"/>
      <c r="B64" s="1"/>
      <c r="C64" s="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7"/>
      <c r="B65" s="1"/>
      <c r="C65" s="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7"/>
      <c r="B66" s="1"/>
      <c r="C66" s="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7"/>
      <c r="B67" s="1"/>
      <c r="C67" s="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7"/>
      <c r="B68" s="1"/>
      <c r="C68" s="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7"/>
      <c r="B69" s="1"/>
      <c r="C69" s="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7"/>
      <c r="B70" s="1"/>
      <c r="C70" s="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7"/>
      <c r="B71" s="1"/>
      <c r="C71" s="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7"/>
      <c r="B72" s="1"/>
      <c r="C72" s="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7"/>
      <c r="B73" s="1"/>
      <c r="C73" s="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7"/>
      <c r="B74" s="1"/>
      <c r="C74" s="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7"/>
      <c r="B75" s="1"/>
      <c r="C75" s="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7"/>
      <c r="B76" s="1"/>
      <c r="C76" s="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7"/>
      <c r="B77" s="1"/>
      <c r="C77" s="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7"/>
      <c r="B78" s="1"/>
      <c r="C78" s="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7"/>
      <c r="B79" s="1"/>
      <c r="C79" s="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7"/>
      <c r="B80" s="1"/>
      <c r="C80" s="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7"/>
      <c r="B81" s="1"/>
      <c r="C81" s="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7"/>
      <c r="B82" s="1"/>
      <c r="C82" s="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7"/>
      <c r="B83" s="1"/>
      <c r="C83" s="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7"/>
      <c r="B84" s="1"/>
      <c r="C84" s="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7"/>
      <c r="B85" s="1"/>
      <c r="C85" s="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7"/>
      <c r="B86" s="1"/>
      <c r="C86" s="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7"/>
      <c r="B87" s="1"/>
      <c r="C87" s="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7"/>
      <c r="B88" s="1"/>
      <c r="C88" s="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7"/>
      <c r="B89" s="1"/>
      <c r="C89" s="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7"/>
      <c r="B90" s="1"/>
      <c r="C90" s="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7"/>
      <c r="B91" s="1"/>
      <c r="C91" s="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7"/>
      <c r="B92" s="1"/>
      <c r="C92" s="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7"/>
      <c r="B93" s="1"/>
      <c r="C93" s="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7"/>
      <c r="B94" s="1"/>
      <c r="C94" s="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7"/>
      <c r="B95" s="1"/>
      <c r="C95" s="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7"/>
      <c r="B96" s="1"/>
      <c r="C96" s="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7"/>
      <c r="B97" s="1"/>
      <c r="C97" s="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7"/>
      <c r="B98" s="1"/>
      <c r="C98" s="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7"/>
      <c r="B99" s="1"/>
      <c r="C99" s="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7"/>
      <c r="B100" s="1"/>
      <c r="C100" s="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7"/>
      <c r="B101" s="1"/>
      <c r="C101" s="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7"/>
      <c r="B102" s="1"/>
      <c r="C102" s="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7"/>
      <c r="B103" s="1"/>
      <c r="C103" s="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7"/>
      <c r="B104" s="1"/>
      <c r="C104" s="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7"/>
      <c r="B105" s="1"/>
      <c r="C105" s="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7"/>
      <c r="B106" s="1"/>
      <c r="C106" s="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7"/>
      <c r="B107" s="1"/>
      <c r="C107" s="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7"/>
      <c r="B108" s="1"/>
      <c r="C108" s="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7"/>
      <c r="B109" s="1"/>
      <c r="C109" s="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7"/>
      <c r="B110" s="1"/>
      <c r="C110" s="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7"/>
      <c r="B111" s="1"/>
      <c r="C111" s="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7"/>
      <c r="B112" s="1"/>
      <c r="C112" s="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7"/>
      <c r="B113" s="1"/>
      <c r="C113" s="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7"/>
      <c r="B114" s="1"/>
      <c r="C114" s="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7"/>
      <c r="B115" s="1"/>
      <c r="C115" s="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7"/>
      <c r="B116" s="1"/>
      <c r="C116" s="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7"/>
      <c r="B117" s="1"/>
      <c r="C117" s="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7"/>
      <c r="B118" s="1"/>
      <c r="C118" s="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7"/>
      <c r="B119" s="1"/>
      <c r="C119" s="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7"/>
      <c r="B120" s="1"/>
      <c r="C120" s="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7"/>
      <c r="B121" s="1"/>
      <c r="C121" s="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7"/>
      <c r="B122" s="1"/>
      <c r="C122" s="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7"/>
      <c r="B123" s="1"/>
      <c r="C123" s="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7"/>
      <c r="B124" s="1"/>
      <c r="C124" s="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7"/>
      <c r="B125" s="1"/>
      <c r="C125" s="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7"/>
      <c r="B126" s="1"/>
      <c r="C126" s="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7"/>
      <c r="B127" s="1"/>
      <c r="C127" s="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7"/>
      <c r="B128" s="1"/>
      <c r="C128" s="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7"/>
      <c r="B129" s="1"/>
      <c r="C129" s="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7"/>
      <c r="B130" s="1"/>
      <c r="C130" s="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7"/>
      <c r="B131" s="1"/>
      <c r="C131" s="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7"/>
      <c r="B132" s="1"/>
      <c r="C132" s="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7"/>
      <c r="B133" s="1"/>
      <c r="C133" s="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7"/>
      <c r="B134" s="1"/>
      <c r="C134" s="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7"/>
      <c r="B135" s="1"/>
      <c r="C135" s="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7"/>
      <c r="B136" s="1"/>
      <c r="C136" s="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7"/>
      <c r="B137" s="1"/>
      <c r="C137" s="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7"/>
      <c r="B138" s="1"/>
      <c r="C138" s="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7"/>
      <c r="B139" s="1"/>
      <c r="C139" s="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7"/>
      <c r="B140" s="1"/>
      <c r="C140" s="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7"/>
      <c r="B141" s="1"/>
      <c r="C141" s="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7"/>
      <c r="B142" s="1"/>
      <c r="C142" s="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7"/>
      <c r="B143" s="1"/>
      <c r="C143" s="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7"/>
      <c r="B144" s="1"/>
      <c r="C144" s="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7"/>
      <c r="B145" s="1"/>
      <c r="C145" s="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7"/>
      <c r="B146" s="1"/>
      <c r="C146" s="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7"/>
      <c r="B147" s="1"/>
      <c r="C147" s="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7"/>
      <c r="B148" s="1"/>
      <c r="C148" s="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7"/>
      <c r="B149" s="1"/>
      <c r="C149" s="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7"/>
      <c r="B150" s="1"/>
      <c r="C150" s="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7"/>
      <c r="B151" s="1"/>
      <c r="C151" s="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7"/>
      <c r="B152" s="1"/>
      <c r="C152" s="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7"/>
      <c r="B153" s="1"/>
      <c r="C153" s="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7"/>
      <c r="B154" s="1"/>
      <c r="C154" s="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7"/>
      <c r="B155" s="1"/>
      <c r="C155" s="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7"/>
      <c r="B156" s="1"/>
      <c r="C156" s="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7"/>
      <c r="B157" s="1"/>
      <c r="C157" s="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7"/>
      <c r="B158" s="1"/>
      <c r="C158" s="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7"/>
      <c r="B159" s="1"/>
      <c r="C159" s="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7"/>
      <c r="B160" s="1"/>
      <c r="C160" s="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7"/>
      <c r="B161" s="1"/>
      <c r="C161" s="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7"/>
      <c r="B162" s="1"/>
      <c r="C162" s="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7"/>
      <c r="B163" s="1"/>
      <c r="C163" s="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7"/>
      <c r="B164" s="1"/>
      <c r="C164" s="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7"/>
      <c r="B165" s="1"/>
      <c r="C165" s="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7"/>
      <c r="B166" s="1"/>
      <c r="C166" s="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7"/>
      <c r="B167" s="1"/>
      <c r="C167" s="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7"/>
      <c r="B168" s="1"/>
      <c r="C168" s="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7"/>
      <c r="B169" s="1"/>
      <c r="C169" s="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7"/>
      <c r="B170" s="1"/>
      <c r="C170" s="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7"/>
      <c r="B171" s="1"/>
      <c r="C171" s="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7"/>
      <c r="B172" s="1"/>
      <c r="C172" s="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7"/>
      <c r="B173" s="1"/>
      <c r="C173" s="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7"/>
      <c r="B174" s="1"/>
      <c r="C174" s="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7"/>
      <c r="B175" s="1"/>
      <c r="C175" s="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7"/>
      <c r="B176" s="1"/>
      <c r="C176" s="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7"/>
      <c r="B177" s="1"/>
      <c r="C177" s="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7"/>
      <c r="B178" s="1"/>
      <c r="C178" s="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7"/>
      <c r="B179" s="1"/>
      <c r="C179" s="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7"/>
      <c r="B180" s="1"/>
      <c r="C180" s="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7"/>
      <c r="B181" s="1"/>
      <c r="C181" s="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7"/>
      <c r="B182" s="1"/>
      <c r="C182" s="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7"/>
      <c r="B183" s="1"/>
      <c r="C183" s="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7"/>
      <c r="B184" s="1"/>
      <c r="C184" s="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7"/>
      <c r="B185" s="1"/>
      <c r="C185" s="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7"/>
      <c r="B186" s="1"/>
      <c r="C186" s="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7"/>
      <c r="B187" s="1"/>
      <c r="C187" s="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7"/>
      <c r="B188" s="1"/>
      <c r="C188" s="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7"/>
      <c r="B189" s="1"/>
      <c r="C189" s="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7"/>
      <c r="B190" s="1"/>
      <c r="C190" s="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7"/>
      <c r="B191" s="1"/>
      <c r="C191" s="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7"/>
      <c r="B192" s="1"/>
      <c r="C192" s="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7"/>
      <c r="B193" s="1"/>
      <c r="C193" s="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7"/>
      <c r="B194" s="1"/>
      <c r="C194" s="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7"/>
      <c r="B195" s="1"/>
      <c r="C195" s="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7"/>
      <c r="B196" s="1"/>
      <c r="C196" s="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7"/>
      <c r="B197" s="1"/>
      <c r="C197" s="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7"/>
      <c r="B198" s="1"/>
      <c r="C198" s="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7"/>
      <c r="B199" s="1"/>
      <c r="C199" s="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7"/>
      <c r="B200" s="1"/>
      <c r="C200" s="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7"/>
      <c r="B201" s="1"/>
      <c r="C201" s="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7"/>
      <c r="B202" s="1"/>
      <c r="C202" s="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7"/>
      <c r="B203" s="1"/>
      <c r="C203" s="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7"/>
      <c r="B204" s="1"/>
      <c r="C204" s="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7"/>
      <c r="B205" s="1"/>
      <c r="C205" s="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7"/>
      <c r="B206" s="1"/>
      <c r="C206" s="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7"/>
      <c r="B207" s="1"/>
      <c r="C207" s="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7"/>
      <c r="B208" s="1"/>
      <c r="C208" s="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7"/>
      <c r="B209" s="1"/>
      <c r="C209" s="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7"/>
      <c r="B210" s="1"/>
      <c r="C210" s="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7"/>
      <c r="B211" s="1"/>
      <c r="C211" s="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7"/>
      <c r="B212" s="1"/>
      <c r="C212" s="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7"/>
      <c r="B213" s="1"/>
      <c r="C213" s="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7"/>
      <c r="B214" s="1"/>
      <c r="C214" s="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7"/>
      <c r="B215" s="1"/>
      <c r="C215" s="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7"/>
      <c r="B216" s="1"/>
      <c r="C216" s="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7"/>
      <c r="B217" s="1"/>
      <c r="C217" s="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7"/>
      <c r="B218" s="1"/>
      <c r="C218" s="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7"/>
      <c r="B219" s="1"/>
      <c r="C219" s="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7"/>
      <c r="B220" s="1"/>
      <c r="C220" s="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7"/>
      <c r="B221" s="1"/>
      <c r="C221" s="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7"/>
      <c r="B222" s="1"/>
      <c r="C222" s="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7"/>
      <c r="B223" s="1"/>
      <c r="C223" s="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7"/>
      <c r="B224" s="1"/>
      <c r="C224" s="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7"/>
      <c r="B225" s="1"/>
      <c r="C225" s="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7"/>
      <c r="B226" s="1"/>
      <c r="C226" s="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7"/>
      <c r="B227" s="1"/>
      <c r="C227" s="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7"/>
      <c r="B228" s="1"/>
      <c r="C228" s="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7"/>
      <c r="B229" s="1"/>
      <c r="C229" s="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7"/>
      <c r="B230" s="1"/>
      <c r="C230" s="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7"/>
      <c r="B231" s="1"/>
      <c r="C231" s="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7"/>
      <c r="B232" s="1"/>
      <c r="C232" s="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7"/>
      <c r="B233" s="1"/>
      <c r="C233" s="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7"/>
      <c r="B234" s="1"/>
      <c r="C234" s="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7"/>
      <c r="B235" s="1"/>
      <c r="C235" s="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7"/>
      <c r="B236" s="1"/>
      <c r="C236" s="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7"/>
      <c r="B237" s="1"/>
      <c r="C237" s="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7"/>
      <c r="B238" s="1"/>
      <c r="C238" s="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7"/>
      <c r="B239" s="1"/>
      <c r="C239" s="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7"/>
      <c r="B240" s="1"/>
      <c r="C240" s="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7"/>
      <c r="B241" s="1"/>
      <c r="C241" s="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7"/>
      <c r="B242" s="1"/>
      <c r="C242" s="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7"/>
      <c r="B243" s="1"/>
      <c r="C243" s="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7"/>
      <c r="B244" s="1"/>
      <c r="C244" s="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7"/>
      <c r="B245" s="1"/>
      <c r="C245" s="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7"/>
      <c r="B246" s="1"/>
      <c r="C246" s="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7"/>
      <c r="B247" s="1"/>
      <c r="C247" s="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7"/>
      <c r="B248" s="1"/>
      <c r="C248" s="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7"/>
      <c r="B249" s="1"/>
      <c r="C249" s="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7"/>
      <c r="B250" s="1"/>
      <c r="C250" s="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7"/>
      <c r="B251" s="1"/>
      <c r="C251" s="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7"/>
      <c r="B252" s="1"/>
      <c r="C252" s="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7"/>
      <c r="B253" s="1"/>
      <c r="C253" s="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7"/>
      <c r="B254" s="1"/>
      <c r="C254" s="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7"/>
      <c r="B255" s="1"/>
      <c r="C255" s="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7"/>
      <c r="B256" s="1"/>
      <c r="C256" s="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7"/>
      <c r="B257" s="1"/>
      <c r="C257" s="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7"/>
      <c r="B258" s="1"/>
      <c r="C258" s="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7"/>
      <c r="B259" s="1"/>
      <c r="C259" s="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7"/>
      <c r="B260" s="1"/>
      <c r="C260" s="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7"/>
      <c r="B261" s="1"/>
      <c r="C261" s="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7"/>
      <c r="B262" s="1"/>
      <c r="C262" s="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7"/>
      <c r="B263" s="1"/>
      <c r="C263" s="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7"/>
      <c r="B264" s="1"/>
      <c r="C264" s="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7"/>
      <c r="B265" s="1"/>
      <c r="C265" s="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7"/>
      <c r="B266" s="1"/>
      <c r="C266" s="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7"/>
      <c r="B267" s="1"/>
      <c r="C267" s="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7"/>
      <c r="B268" s="1"/>
      <c r="C268" s="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7"/>
      <c r="B269" s="1"/>
      <c r="C269" s="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7"/>
      <c r="B270" s="1"/>
      <c r="C270" s="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7"/>
      <c r="B271" s="1"/>
      <c r="C271" s="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7"/>
      <c r="B272" s="1"/>
      <c r="C272" s="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7"/>
      <c r="B273" s="1"/>
      <c r="C273" s="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7"/>
      <c r="B274" s="1"/>
      <c r="C274" s="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7"/>
      <c r="B275" s="1"/>
      <c r="C275" s="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7"/>
      <c r="B276" s="1"/>
      <c r="C276" s="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7"/>
      <c r="B277" s="1"/>
      <c r="C277" s="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7"/>
      <c r="B278" s="1"/>
      <c r="C278" s="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7"/>
      <c r="B279" s="1"/>
      <c r="C279" s="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7"/>
      <c r="B280" s="1"/>
      <c r="C280" s="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7"/>
      <c r="B281" s="1"/>
      <c r="C281" s="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7"/>
      <c r="B282" s="1"/>
      <c r="C282" s="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7"/>
      <c r="B283" s="1"/>
      <c r="C283" s="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7"/>
      <c r="B284" s="1"/>
      <c r="C284" s="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7"/>
      <c r="B285" s="1"/>
      <c r="C285" s="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7"/>
      <c r="B286" s="1"/>
      <c r="C286" s="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7"/>
      <c r="B287" s="1"/>
      <c r="C287" s="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7"/>
      <c r="B288" s="1"/>
      <c r="C288" s="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7"/>
      <c r="B289" s="1"/>
      <c r="C289" s="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7"/>
      <c r="B290" s="1"/>
      <c r="C290" s="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7"/>
      <c r="B291" s="1"/>
      <c r="C291" s="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7"/>
      <c r="B292" s="1"/>
      <c r="C292" s="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7"/>
      <c r="B293" s="1"/>
      <c r="C293" s="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7"/>
      <c r="B294" s="1"/>
      <c r="C294" s="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7"/>
      <c r="B295" s="1"/>
      <c r="C295" s="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7"/>
      <c r="B296" s="1"/>
      <c r="C296" s="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7"/>
      <c r="B297" s="1"/>
      <c r="C297" s="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7"/>
      <c r="B298" s="1"/>
      <c r="C298" s="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7"/>
      <c r="B299" s="1"/>
      <c r="C299" s="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7"/>
      <c r="B300" s="1"/>
      <c r="C300" s="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7"/>
      <c r="B301" s="1"/>
      <c r="C301" s="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7"/>
      <c r="B302" s="1"/>
      <c r="C302" s="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7"/>
      <c r="B303" s="1"/>
      <c r="C303" s="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7"/>
      <c r="B304" s="1"/>
      <c r="C304" s="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7"/>
      <c r="B305" s="1"/>
      <c r="C305" s="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7"/>
      <c r="B306" s="1"/>
      <c r="C306" s="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7"/>
      <c r="B307" s="1"/>
      <c r="C307" s="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7"/>
      <c r="B308" s="1"/>
      <c r="C308" s="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7"/>
      <c r="B309" s="1"/>
      <c r="C309" s="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7"/>
      <c r="B310" s="1"/>
      <c r="C310" s="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7"/>
      <c r="B311" s="1"/>
      <c r="C311" s="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7"/>
      <c r="B312" s="1"/>
      <c r="C312" s="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7"/>
      <c r="B313" s="1"/>
      <c r="C313" s="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7"/>
      <c r="B314" s="1"/>
      <c r="C314" s="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7"/>
      <c r="B315" s="1"/>
      <c r="C315" s="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7"/>
      <c r="B316" s="1"/>
      <c r="C316" s="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7"/>
      <c r="B317" s="1"/>
      <c r="C317" s="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7"/>
      <c r="B318" s="1"/>
      <c r="C318" s="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7"/>
      <c r="B319" s="1"/>
      <c r="C319" s="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7"/>
      <c r="B320" s="1"/>
      <c r="C320" s="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7"/>
      <c r="B321" s="1"/>
      <c r="C321" s="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7"/>
      <c r="B322" s="1"/>
      <c r="C322" s="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7"/>
      <c r="B323" s="1"/>
      <c r="C323" s="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7"/>
      <c r="B324" s="1"/>
      <c r="C324" s="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7"/>
      <c r="B325" s="1"/>
      <c r="C325" s="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7"/>
      <c r="B326" s="1"/>
      <c r="C326" s="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7"/>
      <c r="B327" s="1"/>
      <c r="C327" s="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7"/>
      <c r="B328" s="1"/>
      <c r="C328" s="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7"/>
      <c r="B329" s="1"/>
      <c r="C329" s="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7"/>
      <c r="B330" s="1"/>
      <c r="C330" s="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7"/>
      <c r="B331" s="1"/>
      <c r="C331" s="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7"/>
      <c r="B332" s="1"/>
      <c r="C332" s="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7"/>
      <c r="B333" s="1"/>
      <c r="C333" s="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7"/>
      <c r="B334" s="1"/>
      <c r="C334" s="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7"/>
      <c r="B335" s="1"/>
      <c r="C335" s="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7"/>
      <c r="B336" s="1"/>
      <c r="C336" s="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7"/>
      <c r="B337" s="1"/>
      <c r="C337" s="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7"/>
      <c r="B338" s="1"/>
      <c r="C338" s="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7"/>
      <c r="B339" s="1"/>
      <c r="C339" s="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7"/>
      <c r="B340" s="1"/>
      <c r="C340" s="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7"/>
      <c r="B341" s="1"/>
      <c r="C341" s="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7"/>
      <c r="B342" s="1"/>
      <c r="C342" s="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7"/>
      <c r="B343" s="1"/>
      <c r="C343" s="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7"/>
      <c r="B344" s="1"/>
      <c r="C344" s="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7"/>
      <c r="B345" s="1"/>
      <c r="C345" s="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7"/>
      <c r="B346" s="1"/>
      <c r="C346" s="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7"/>
      <c r="B347" s="1"/>
      <c r="C347" s="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7"/>
      <c r="B348" s="1"/>
      <c r="C348" s="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7"/>
      <c r="B349" s="1"/>
      <c r="C349" s="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7"/>
      <c r="B350" s="1"/>
      <c r="C350" s="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7"/>
      <c r="B351" s="1"/>
      <c r="C351" s="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7"/>
      <c r="B352" s="1"/>
      <c r="C352" s="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7"/>
      <c r="B353" s="1"/>
      <c r="C353" s="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7"/>
      <c r="B354" s="1"/>
      <c r="C354" s="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7"/>
      <c r="B355" s="1"/>
      <c r="C355" s="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7"/>
      <c r="B356" s="1"/>
      <c r="C356" s="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7"/>
      <c r="B357" s="1"/>
      <c r="C357" s="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7"/>
      <c r="B358" s="1"/>
      <c r="C358" s="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7"/>
      <c r="B359" s="1"/>
      <c r="C359" s="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7"/>
      <c r="B360" s="1"/>
      <c r="C360" s="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7"/>
      <c r="B361" s="1"/>
      <c r="C361" s="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7"/>
      <c r="B362" s="1"/>
      <c r="C362" s="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7"/>
      <c r="B363" s="1"/>
      <c r="C363" s="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7"/>
      <c r="B364" s="1"/>
      <c r="C364" s="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7"/>
      <c r="B365" s="1"/>
      <c r="C365" s="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7"/>
      <c r="B366" s="1"/>
      <c r="C366" s="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7"/>
      <c r="B367" s="1"/>
      <c r="C367" s="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7"/>
      <c r="B368" s="1"/>
      <c r="C368" s="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7"/>
      <c r="B369" s="1"/>
      <c r="C369" s="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7"/>
      <c r="B370" s="1"/>
      <c r="C370" s="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7"/>
      <c r="B371" s="1"/>
      <c r="C371" s="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7"/>
      <c r="B372" s="1"/>
      <c r="C372" s="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7"/>
      <c r="B373" s="1"/>
      <c r="C373" s="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7"/>
      <c r="B374" s="1"/>
      <c r="C374" s="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7"/>
      <c r="B375" s="1"/>
      <c r="C375" s="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7"/>
      <c r="B376" s="1"/>
      <c r="C376" s="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7"/>
      <c r="B377" s="1"/>
      <c r="C377" s="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7"/>
      <c r="B378" s="1"/>
      <c r="C378" s="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7"/>
      <c r="B379" s="1"/>
      <c r="C379" s="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7"/>
      <c r="B380" s="1"/>
      <c r="C380" s="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7"/>
      <c r="B381" s="1"/>
      <c r="C381" s="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7"/>
      <c r="B382" s="1"/>
      <c r="C382" s="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7"/>
      <c r="B383" s="1"/>
      <c r="C383" s="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7"/>
      <c r="B384" s="1"/>
      <c r="C384" s="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7"/>
      <c r="B385" s="1"/>
      <c r="C385" s="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7"/>
      <c r="B386" s="1"/>
      <c r="C386" s="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7"/>
      <c r="B387" s="1"/>
      <c r="C387" s="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7"/>
      <c r="B388" s="1"/>
      <c r="C388" s="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7"/>
      <c r="B389" s="1"/>
      <c r="C389" s="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7"/>
      <c r="B390" s="1"/>
      <c r="C390" s="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7"/>
      <c r="B391" s="1"/>
      <c r="C391" s="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7"/>
      <c r="B392" s="1"/>
      <c r="C392" s="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7"/>
      <c r="B393" s="1"/>
      <c r="C393" s="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7"/>
      <c r="B394" s="1"/>
      <c r="C394" s="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7"/>
      <c r="B395" s="1"/>
      <c r="C395" s="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7"/>
      <c r="B396" s="1"/>
      <c r="C396" s="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7"/>
      <c r="B397" s="1"/>
      <c r="C397" s="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7"/>
      <c r="B398" s="1"/>
      <c r="C398" s="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7"/>
      <c r="B399" s="1"/>
      <c r="C399" s="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7"/>
      <c r="B400" s="1"/>
      <c r="C400" s="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7"/>
      <c r="B401" s="1"/>
      <c r="C401" s="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7"/>
      <c r="B402" s="1"/>
      <c r="C402" s="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7"/>
      <c r="B403" s="1"/>
      <c r="C403" s="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7"/>
      <c r="B404" s="1"/>
      <c r="C404" s="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7"/>
      <c r="B405" s="1"/>
      <c r="C405" s="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7"/>
      <c r="B406" s="1"/>
      <c r="C406" s="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7"/>
      <c r="B407" s="1"/>
      <c r="C407" s="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7"/>
      <c r="B408" s="1"/>
      <c r="C408" s="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7"/>
      <c r="B409" s="1"/>
      <c r="C409" s="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7"/>
      <c r="B410" s="1"/>
      <c r="C410" s="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7"/>
      <c r="B411" s="1"/>
      <c r="C411" s="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7"/>
      <c r="B412" s="1"/>
      <c r="C412" s="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7"/>
      <c r="B413" s="1"/>
      <c r="C413" s="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7"/>
      <c r="B414" s="1"/>
      <c r="C414" s="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7"/>
      <c r="B415" s="1"/>
      <c r="C415" s="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7"/>
      <c r="B416" s="1"/>
      <c r="C416" s="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7"/>
      <c r="B417" s="1"/>
      <c r="C417" s="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7"/>
      <c r="B418" s="1"/>
      <c r="C418" s="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7"/>
      <c r="B419" s="1"/>
      <c r="C419" s="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7"/>
      <c r="B420" s="1"/>
      <c r="C420" s="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7"/>
      <c r="B421" s="1"/>
      <c r="C421" s="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7"/>
      <c r="B422" s="1"/>
      <c r="C422" s="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7"/>
      <c r="B423" s="1"/>
      <c r="C423" s="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7"/>
      <c r="B424" s="1"/>
      <c r="C424" s="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7"/>
      <c r="B425" s="1"/>
      <c r="C425" s="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7"/>
      <c r="B426" s="1"/>
      <c r="C426" s="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7"/>
      <c r="B427" s="1"/>
      <c r="C427" s="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7"/>
      <c r="B428" s="1"/>
      <c r="C428" s="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7"/>
      <c r="B429" s="1"/>
      <c r="C429" s="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7"/>
      <c r="B430" s="1"/>
      <c r="C430" s="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7"/>
      <c r="B431" s="1"/>
      <c r="C431" s="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7"/>
      <c r="B432" s="1"/>
      <c r="C432" s="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7"/>
      <c r="B433" s="1"/>
      <c r="C433" s="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7"/>
      <c r="B434" s="1"/>
      <c r="C434" s="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7"/>
      <c r="B435" s="1"/>
      <c r="C435" s="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7"/>
      <c r="B436" s="1"/>
      <c r="C436" s="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7"/>
      <c r="B437" s="1"/>
      <c r="C437" s="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7"/>
      <c r="B438" s="1"/>
      <c r="C438" s="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7"/>
      <c r="B439" s="1"/>
      <c r="C439" s="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7"/>
      <c r="B440" s="1"/>
      <c r="C440" s="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7"/>
      <c r="B441" s="1"/>
      <c r="C441" s="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7"/>
      <c r="B442" s="1"/>
      <c r="C442" s="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7"/>
      <c r="B443" s="1"/>
      <c r="C443" s="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7"/>
      <c r="B444" s="1"/>
      <c r="C444" s="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7"/>
      <c r="B445" s="1"/>
      <c r="C445" s="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7"/>
      <c r="B446" s="1"/>
      <c r="C446" s="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7"/>
      <c r="B447" s="1"/>
      <c r="C447" s="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7"/>
      <c r="B448" s="1"/>
      <c r="C448" s="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7"/>
      <c r="B449" s="1"/>
      <c r="C449" s="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7"/>
      <c r="B450" s="1"/>
      <c r="C450" s="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7"/>
      <c r="B451" s="1"/>
      <c r="C451" s="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7"/>
      <c r="B452" s="1"/>
      <c r="C452" s="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7"/>
      <c r="B453" s="1"/>
      <c r="C453" s="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7"/>
      <c r="B454" s="1"/>
      <c r="C454" s="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7"/>
      <c r="B455" s="1"/>
      <c r="C455" s="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7"/>
      <c r="B456" s="1"/>
      <c r="C456" s="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7"/>
      <c r="B457" s="1"/>
      <c r="C457" s="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7"/>
      <c r="B458" s="1"/>
      <c r="C458" s="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7"/>
      <c r="B459" s="1"/>
      <c r="C459" s="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7"/>
      <c r="B460" s="1"/>
      <c r="C460" s="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7"/>
      <c r="B461" s="1"/>
      <c r="C461" s="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7"/>
      <c r="B462" s="1"/>
      <c r="C462" s="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7"/>
      <c r="B463" s="1"/>
      <c r="C463" s="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7"/>
      <c r="B464" s="1"/>
      <c r="C464" s="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7"/>
      <c r="B465" s="1"/>
      <c r="C465" s="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7"/>
      <c r="B466" s="1"/>
      <c r="C466" s="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7"/>
      <c r="B467" s="1"/>
      <c r="C467" s="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7"/>
      <c r="B468" s="1"/>
      <c r="C468" s="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7"/>
      <c r="B469" s="1"/>
      <c r="C469" s="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7"/>
      <c r="B470" s="1"/>
      <c r="C470" s="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7"/>
      <c r="B471" s="1"/>
      <c r="C471" s="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7"/>
      <c r="B472" s="1"/>
      <c r="C472" s="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7"/>
      <c r="B473" s="1"/>
      <c r="C473" s="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7"/>
      <c r="B474" s="1"/>
      <c r="C474" s="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7"/>
      <c r="B475" s="1"/>
      <c r="C475" s="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7"/>
      <c r="B476" s="1"/>
      <c r="C476" s="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7"/>
      <c r="B477" s="1"/>
      <c r="C477" s="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7"/>
      <c r="B478" s="1"/>
      <c r="C478" s="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7"/>
      <c r="B479" s="1"/>
      <c r="C479" s="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7"/>
      <c r="B480" s="1"/>
      <c r="C480" s="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7"/>
      <c r="B481" s="1"/>
      <c r="C481" s="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7"/>
      <c r="B482" s="1"/>
      <c r="C482" s="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7"/>
      <c r="B483" s="1"/>
      <c r="C483" s="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7"/>
      <c r="B484" s="1"/>
      <c r="C484" s="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7"/>
      <c r="B485" s="1"/>
      <c r="C485" s="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7"/>
      <c r="B486" s="1"/>
      <c r="C486" s="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7"/>
      <c r="B487" s="1"/>
      <c r="C487" s="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7"/>
      <c r="B488" s="1"/>
      <c r="C488" s="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7"/>
      <c r="B489" s="1"/>
      <c r="C489" s="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7"/>
      <c r="B490" s="1"/>
      <c r="C490" s="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7"/>
      <c r="B491" s="1"/>
      <c r="C491" s="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7"/>
      <c r="B492" s="1"/>
      <c r="C492" s="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7"/>
      <c r="B493" s="1"/>
      <c r="C493" s="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7"/>
      <c r="B494" s="1"/>
      <c r="C494" s="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7"/>
      <c r="B495" s="1"/>
      <c r="C495" s="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7"/>
      <c r="B496" s="1"/>
      <c r="C496" s="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7"/>
      <c r="B497" s="1"/>
      <c r="C497" s="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7"/>
      <c r="B498" s="1"/>
      <c r="C498" s="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7"/>
      <c r="B499" s="1"/>
      <c r="C499" s="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7"/>
      <c r="B500" s="1"/>
      <c r="C500" s="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7"/>
      <c r="B501" s="1"/>
      <c r="C501" s="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7"/>
      <c r="B502" s="1"/>
      <c r="C502" s="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7"/>
      <c r="B503" s="1"/>
      <c r="C503" s="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7"/>
      <c r="B504" s="1"/>
      <c r="C504" s="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7"/>
      <c r="B505" s="1"/>
      <c r="C505" s="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7"/>
      <c r="B506" s="1"/>
      <c r="C506" s="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7"/>
      <c r="B507" s="1"/>
      <c r="C507" s="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7"/>
      <c r="B508" s="1"/>
      <c r="C508" s="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7"/>
      <c r="B509" s="1"/>
      <c r="C509" s="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7"/>
      <c r="B510" s="1"/>
      <c r="C510" s="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7"/>
      <c r="B511" s="1"/>
      <c r="C511" s="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7"/>
      <c r="B512" s="1"/>
      <c r="C512" s="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7"/>
      <c r="B513" s="1"/>
      <c r="C513" s="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7"/>
      <c r="B514" s="1"/>
      <c r="C514" s="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7"/>
      <c r="B515" s="1"/>
      <c r="C515" s="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7"/>
      <c r="B516" s="1"/>
      <c r="C516" s="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7"/>
      <c r="B517" s="1"/>
      <c r="C517" s="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7"/>
      <c r="B518" s="1"/>
      <c r="C518" s="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7"/>
      <c r="B519" s="1"/>
      <c r="C519" s="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7"/>
      <c r="B520" s="1"/>
      <c r="C520" s="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7"/>
      <c r="B521" s="1"/>
      <c r="C521" s="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7"/>
      <c r="B522" s="1"/>
      <c r="C522" s="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7"/>
      <c r="B523" s="1"/>
      <c r="C523" s="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7"/>
      <c r="B524" s="1"/>
      <c r="C524" s="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7"/>
      <c r="B525" s="1"/>
      <c r="C525" s="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7"/>
      <c r="B526" s="1"/>
      <c r="C526" s="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7"/>
      <c r="B527" s="1"/>
      <c r="C527" s="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7"/>
      <c r="B528" s="1"/>
      <c r="C528" s="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7"/>
      <c r="B529" s="1"/>
      <c r="C529" s="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7"/>
      <c r="B530" s="1"/>
      <c r="C530" s="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7"/>
      <c r="B531" s="1"/>
      <c r="C531" s="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7"/>
      <c r="B532" s="1"/>
      <c r="C532" s="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7"/>
      <c r="B533" s="1"/>
      <c r="C533" s="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7"/>
      <c r="B534" s="1"/>
      <c r="C534" s="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7"/>
      <c r="B535" s="1"/>
      <c r="C535" s="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7"/>
      <c r="B536" s="1"/>
      <c r="C536" s="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7"/>
      <c r="B537" s="1"/>
      <c r="C537" s="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7"/>
      <c r="B538" s="1"/>
      <c r="C538" s="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7"/>
      <c r="B539" s="1"/>
      <c r="C539" s="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7"/>
      <c r="B540" s="1"/>
      <c r="C540" s="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7"/>
      <c r="B541" s="1"/>
      <c r="C541" s="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7"/>
      <c r="B542" s="1"/>
      <c r="C542" s="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7"/>
      <c r="B543" s="1"/>
      <c r="C543" s="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7"/>
      <c r="B544" s="1"/>
      <c r="C544" s="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7"/>
      <c r="B545" s="1"/>
      <c r="C545" s="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7"/>
      <c r="B546" s="1"/>
      <c r="C546" s="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7"/>
      <c r="B547" s="1"/>
      <c r="C547" s="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7"/>
      <c r="B548" s="1"/>
      <c r="C548" s="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7"/>
      <c r="B549" s="1"/>
      <c r="C549" s="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7"/>
      <c r="B550" s="1"/>
      <c r="C550" s="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7"/>
      <c r="B551" s="1"/>
      <c r="C551" s="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7"/>
      <c r="B552" s="1"/>
      <c r="C552" s="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7"/>
      <c r="B553" s="1"/>
      <c r="C553" s="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7"/>
      <c r="B554" s="1"/>
      <c r="C554" s="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7"/>
      <c r="B555" s="1"/>
      <c r="C555" s="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7"/>
      <c r="B556" s="1"/>
      <c r="C556" s="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7"/>
      <c r="B557" s="1"/>
      <c r="C557" s="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7"/>
      <c r="B558" s="1"/>
      <c r="C558" s="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7"/>
      <c r="B559" s="1"/>
      <c r="C559" s="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7"/>
      <c r="B560" s="1"/>
      <c r="C560" s="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7"/>
      <c r="B561" s="1"/>
      <c r="C561" s="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7"/>
      <c r="B562" s="1"/>
      <c r="C562" s="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7"/>
      <c r="B563" s="1"/>
      <c r="C563" s="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7"/>
      <c r="B564" s="1"/>
      <c r="C564" s="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7"/>
      <c r="B565" s="1"/>
      <c r="C565" s="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7"/>
      <c r="B566" s="1"/>
      <c r="C566" s="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7"/>
      <c r="B567" s="1"/>
      <c r="C567" s="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7"/>
      <c r="B568" s="1"/>
      <c r="C568" s="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7"/>
      <c r="B569" s="1"/>
      <c r="C569" s="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7"/>
      <c r="B570" s="1"/>
      <c r="C570" s="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7"/>
      <c r="B571" s="1"/>
      <c r="C571" s="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7"/>
      <c r="B572" s="1"/>
      <c r="C572" s="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7"/>
      <c r="B573" s="1"/>
      <c r="C573" s="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7"/>
      <c r="B574" s="1"/>
      <c r="C574" s="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7"/>
      <c r="B575" s="1"/>
      <c r="C575" s="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7"/>
      <c r="B576" s="1"/>
      <c r="C576" s="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7"/>
      <c r="B577" s="1"/>
      <c r="C577" s="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7"/>
      <c r="B578" s="1"/>
      <c r="C578" s="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7"/>
      <c r="B579" s="1"/>
      <c r="C579" s="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7"/>
      <c r="B580" s="1"/>
      <c r="C580" s="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7"/>
      <c r="B581" s="1"/>
      <c r="C581" s="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7"/>
      <c r="B582" s="1"/>
      <c r="C582" s="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7"/>
      <c r="B583" s="1"/>
      <c r="C583" s="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7"/>
      <c r="B584" s="1"/>
      <c r="C584" s="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7"/>
      <c r="B585" s="1"/>
      <c r="C585" s="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7"/>
      <c r="B586" s="1"/>
      <c r="C586" s="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7"/>
      <c r="B587" s="1"/>
      <c r="C587" s="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7"/>
      <c r="B588" s="1"/>
      <c r="C588" s="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7"/>
      <c r="B589" s="1"/>
      <c r="C589" s="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7"/>
      <c r="B590" s="1"/>
      <c r="C590" s="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7"/>
      <c r="B591" s="1"/>
      <c r="C591" s="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7"/>
      <c r="B592" s="1"/>
      <c r="C592" s="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7"/>
      <c r="B593" s="1"/>
      <c r="C593" s="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7"/>
      <c r="B594" s="1"/>
      <c r="C594" s="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7"/>
      <c r="B595" s="1"/>
      <c r="C595" s="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7"/>
      <c r="B596" s="1"/>
      <c r="C596" s="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7"/>
      <c r="B597" s="1"/>
      <c r="C597" s="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7"/>
      <c r="B598" s="1"/>
      <c r="C598" s="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7"/>
      <c r="B599" s="1"/>
      <c r="C599" s="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7"/>
      <c r="B600" s="1"/>
      <c r="C600" s="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7"/>
      <c r="B601" s="1"/>
      <c r="C601" s="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7"/>
      <c r="B602" s="1"/>
      <c r="C602" s="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7"/>
      <c r="B603" s="1"/>
      <c r="C603" s="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7"/>
      <c r="B604" s="1"/>
      <c r="C604" s="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7"/>
      <c r="B605" s="1"/>
      <c r="C605" s="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7"/>
      <c r="B606" s="1"/>
      <c r="C606" s="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7"/>
      <c r="B607" s="1"/>
      <c r="C607" s="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7"/>
      <c r="B608" s="1"/>
      <c r="C608" s="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7"/>
      <c r="B609" s="1"/>
      <c r="C609" s="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7"/>
      <c r="B610" s="1"/>
      <c r="C610" s="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7"/>
      <c r="B611" s="1"/>
      <c r="C611" s="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7"/>
      <c r="B612" s="1"/>
      <c r="C612" s="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7"/>
      <c r="B613" s="1"/>
      <c r="C613" s="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7"/>
      <c r="B614" s="1"/>
      <c r="C614" s="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7"/>
      <c r="B615" s="1"/>
      <c r="C615" s="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7"/>
      <c r="B616" s="1"/>
      <c r="C616" s="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7"/>
      <c r="B617" s="1"/>
      <c r="C617" s="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7"/>
      <c r="B618" s="1"/>
      <c r="C618" s="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7"/>
      <c r="B619" s="1"/>
      <c r="C619" s="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7"/>
      <c r="B620" s="1"/>
      <c r="C620" s="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7"/>
      <c r="B621" s="1"/>
      <c r="C621" s="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7"/>
      <c r="B622" s="1"/>
      <c r="C622" s="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7"/>
      <c r="B623" s="1"/>
      <c r="C623" s="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7"/>
      <c r="B624" s="1"/>
      <c r="C624" s="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7"/>
      <c r="B625" s="1"/>
      <c r="C625" s="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7"/>
      <c r="B626" s="1"/>
      <c r="C626" s="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7"/>
      <c r="B627" s="1"/>
      <c r="C627" s="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7"/>
      <c r="B628" s="1"/>
      <c r="C628" s="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7"/>
      <c r="B629" s="1"/>
      <c r="C629" s="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7"/>
      <c r="B630" s="1"/>
      <c r="C630" s="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7"/>
      <c r="B631" s="1"/>
      <c r="C631" s="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7"/>
      <c r="B632" s="1"/>
      <c r="C632" s="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7"/>
      <c r="B633" s="1"/>
      <c r="C633" s="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7"/>
      <c r="B634" s="1"/>
      <c r="C634" s="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7"/>
      <c r="B635" s="1"/>
      <c r="C635" s="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7"/>
      <c r="B636" s="1"/>
      <c r="C636" s="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7"/>
      <c r="B637" s="1"/>
      <c r="C637" s="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7"/>
      <c r="B638" s="1"/>
      <c r="C638" s="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7"/>
      <c r="B639" s="1"/>
      <c r="C639" s="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7"/>
      <c r="B640" s="1"/>
      <c r="C640" s="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7"/>
      <c r="B641" s="1"/>
      <c r="C641" s="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7"/>
      <c r="B642" s="1"/>
      <c r="C642" s="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7"/>
      <c r="B643" s="1"/>
      <c r="C643" s="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7"/>
      <c r="B644" s="1"/>
      <c r="C644" s="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7"/>
      <c r="B645" s="1"/>
      <c r="C645" s="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7"/>
      <c r="B646" s="1"/>
      <c r="C646" s="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7"/>
      <c r="B647" s="1"/>
      <c r="C647" s="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7"/>
      <c r="B648" s="1"/>
      <c r="C648" s="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7"/>
      <c r="B649" s="1"/>
      <c r="C649" s="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7"/>
      <c r="B650" s="1"/>
      <c r="C650" s="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7"/>
      <c r="B651" s="1"/>
      <c r="C651" s="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7"/>
      <c r="B652" s="1"/>
      <c r="C652" s="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7"/>
      <c r="B653" s="1"/>
      <c r="C653" s="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7"/>
      <c r="B654" s="1"/>
      <c r="C654" s="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7"/>
      <c r="B655" s="1"/>
      <c r="C655" s="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7"/>
      <c r="B656" s="1"/>
      <c r="C656" s="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7"/>
      <c r="B657" s="1"/>
      <c r="C657" s="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7"/>
      <c r="B658" s="1"/>
      <c r="C658" s="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7"/>
      <c r="B659" s="1"/>
      <c r="C659" s="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7"/>
      <c r="B660" s="1"/>
      <c r="C660" s="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7"/>
      <c r="B661" s="1"/>
      <c r="C661" s="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7"/>
      <c r="B662" s="1"/>
      <c r="C662" s="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7"/>
      <c r="B663" s="1"/>
      <c r="C663" s="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7"/>
      <c r="B664" s="1"/>
      <c r="C664" s="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7"/>
      <c r="B665" s="1"/>
      <c r="C665" s="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7"/>
      <c r="B666" s="1"/>
      <c r="C666" s="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7"/>
      <c r="B667" s="1"/>
      <c r="C667" s="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7"/>
      <c r="B668" s="1"/>
      <c r="C668" s="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7"/>
      <c r="B669" s="1"/>
      <c r="C669" s="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7"/>
      <c r="B670" s="1"/>
      <c r="C670" s="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7"/>
      <c r="B671" s="1"/>
      <c r="C671" s="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7"/>
      <c r="B672" s="1"/>
      <c r="C672" s="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7"/>
      <c r="B673" s="1"/>
      <c r="C673" s="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7"/>
      <c r="B674" s="1"/>
      <c r="C674" s="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7"/>
      <c r="B675" s="1"/>
      <c r="C675" s="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7"/>
      <c r="B676" s="1"/>
      <c r="C676" s="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7"/>
      <c r="B677" s="1"/>
      <c r="C677" s="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7"/>
      <c r="B678" s="1"/>
      <c r="C678" s="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7"/>
      <c r="B679" s="1"/>
      <c r="C679" s="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7"/>
      <c r="B680" s="1"/>
      <c r="C680" s="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7"/>
      <c r="B681" s="1"/>
      <c r="C681" s="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7"/>
      <c r="B682" s="1"/>
      <c r="C682" s="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7"/>
      <c r="B683" s="1"/>
      <c r="C683" s="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7"/>
      <c r="B684" s="1"/>
      <c r="C684" s="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7"/>
      <c r="B685" s="1"/>
      <c r="C685" s="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7"/>
      <c r="B686" s="1"/>
      <c r="C686" s="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7"/>
      <c r="B687" s="1"/>
      <c r="C687" s="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7"/>
      <c r="B688" s="1"/>
      <c r="C688" s="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7"/>
      <c r="B689" s="1"/>
      <c r="C689" s="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7"/>
      <c r="B690" s="1"/>
      <c r="C690" s="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7"/>
      <c r="B691" s="1"/>
      <c r="C691" s="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7"/>
      <c r="B692" s="1"/>
      <c r="C692" s="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7"/>
      <c r="B693" s="1"/>
      <c r="C693" s="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7"/>
      <c r="B694" s="1"/>
      <c r="C694" s="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7"/>
      <c r="B695" s="1"/>
      <c r="C695" s="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7"/>
      <c r="B696" s="1"/>
      <c r="C696" s="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7"/>
      <c r="B697" s="1"/>
      <c r="C697" s="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7"/>
      <c r="B698" s="1"/>
      <c r="C698" s="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7"/>
      <c r="B699" s="1"/>
      <c r="C699" s="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7"/>
      <c r="B700" s="1"/>
      <c r="C700" s="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7"/>
      <c r="B701" s="1"/>
      <c r="C701" s="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7"/>
      <c r="B702" s="1"/>
      <c r="C702" s="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7"/>
      <c r="B703" s="1"/>
      <c r="C703" s="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7"/>
      <c r="B704" s="1"/>
      <c r="C704" s="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7"/>
      <c r="B705" s="1"/>
      <c r="C705" s="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7"/>
      <c r="B706" s="1"/>
      <c r="C706" s="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7"/>
      <c r="B707" s="1"/>
      <c r="C707" s="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7"/>
      <c r="B708" s="1"/>
      <c r="C708" s="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7"/>
      <c r="B709" s="1"/>
      <c r="C709" s="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7"/>
      <c r="B710" s="1"/>
      <c r="C710" s="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7"/>
      <c r="B711" s="1"/>
      <c r="C711" s="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7"/>
      <c r="B712" s="1"/>
      <c r="C712" s="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7"/>
      <c r="B713" s="1"/>
      <c r="C713" s="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7"/>
      <c r="B714" s="1"/>
      <c r="C714" s="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7"/>
      <c r="B715" s="1"/>
      <c r="C715" s="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7"/>
      <c r="B716" s="1"/>
      <c r="C716" s="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7"/>
      <c r="B717" s="1"/>
      <c r="C717" s="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7"/>
      <c r="B718" s="1"/>
      <c r="C718" s="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7"/>
      <c r="B719" s="1"/>
      <c r="C719" s="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7"/>
      <c r="B720" s="1"/>
      <c r="C720" s="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7"/>
      <c r="B721" s="1"/>
      <c r="C721" s="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7"/>
      <c r="B722" s="1"/>
      <c r="C722" s="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7"/>
      <c r="B723" s="1"/>
      <c r="C723" s="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7"/>
      <c r="B724" s="1"/>
      <c r="C724" s="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7"/>
      <c r="B725" s="1"/>
      <c r="C725" s="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7"/>
      <c r="B726" s="1"/>
      <c r="C726" s="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7"/>
      <c r="B727" s="1"/>
      <c r="C727" s="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7"/>
      <c r="B728" s="1"/>
      <c r="C728" s="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7"/>
      <c r="B729" s="1"/>
      <c r="C729" s="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7"/>
      <c r="B730" s="1"/>
      <c r="C730" s="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7"/>
      <c r="B731" s="1"/>
      <c r="C731" s="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7"/>
      <c r="B732" s="1"/>
      <c r="C732" s="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7"/>
      <c r="B733" s="1"/>
      <c r="C733" s="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7"/>
      <c r="B734" s="1"/>
      <c r="C734" s="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7"/>
      <c r="B735" s="1"/>
      <c r="C735" s="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7"/>
      <c r="B736" s="1"/>
      <c r="C736" s="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7"/>
      <c r="B737" s="1"/>
      <c r="C737" s="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7"/>
      <c r="B738" s="1"/>
      <c r="C738" s="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7"/>
      <c r="B739" s="1"/>
      <c r="C739" s="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7"/>
      <c r="B740" s="1"/>
      <c r="C740" s="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7"/>
      <c r="B741" s="1"/>
      <c r="C741" s="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7"/>
      <c r="B742" s="1"/>
      <c r="C742" s="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7"/>
      <c r="B743" s="1"/>
      <c r="C743" s="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7"/>
      <c r="B744" s="1"/>
      <c r="C744" s="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7"/>
      <c r="B745" s="1"/>
      <c r="C745" s="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7"/>
      <c r="B746" s="1"/>
      <c r="C746" s="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7"/>
      <c r="B747" s="1"/>
      <c r="C747" s="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7"/>
      <c r="B748" s="1"/>
      <c r="C748" s="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7"/>
      <c r="B749" s="1"/>
      <c r="C749" s="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7"/>
      <c r="B750" s="1"/>
      <c r="C750" s="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7"/>
      <c r="B751" s="1"/>
      <c r="C751" s="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7"/>
      <c r="B752" s="1"/>
      <c r="C752" s="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7"/>
      <c r="B753" s="1"/>
      <c r="C753" s="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7"/>
      <c r="B754" s="1"/>
      <c r="C754" s="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7"/>
      <c r="B755" s="1"/>
      <c r="C755" s="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7"/>
      <c r="B756" s="1"/>
      <c r="C756" s="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7"/>
      <c r="B757" s="1"/>
      <c r="C757" s="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7"/>
      <c r="B758" s="1"/>
      <c r="C758" s="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7"/>
      <c r="B759" s="1"/>
      <c r="C759" s="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7"/>
      <c r="B760" s="1"/>
      <c r="C760" s="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7"/>
      <c r="B761" s="1"/>
      <c r="C761" s="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7"/>
      <c r="B762" s="1"/>
      <c r="C762" s="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7"/>
      <c r="B763" s="1"/>
      <c r="C763" s="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7"/>
      <c r="B764" s="1"/>
      <c r="C764" s="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7"/>
      <c r="B765" s="1"/>
      <c r="C765" s="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7"/>
      <c r="B766" s="1"/>
      <c r="C766" s="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7"/>
      <c r="B767" s="1"/>
      <c r="C767" s="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7"/>
      <c r="B768" s="1"/>
      <c r="C768" s="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7"/>
      <c r="B769" s="1"/>
      <c r="C769" s="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7"/>
      <c r="B770" s="1"/>
      <c r="C770" s="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7"/>
      <c r="B771" s="1"/>
      <c r="C771" s="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7"/>
      <c r="B772" s="1"/>
      <c r="C772" s="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7"/>
      <c r="B773" s="1"/>
      <c r="C773" s="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7"/>
      <c r="B774" s="1"/>
      <c r="C774" s="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7"/>
      <c r="B775" s="1"/>
      <c r="C775" s="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7"/>
      <c r="B776" s="1"/>
      <c r="C776" s="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7"/>
      <c r="B777" s="1"/>
      <c r="C777" s="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7"/>
      <c r="B778" s="1"/>
      <c r="C778" s="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7"/>
      <c r="B779" s="1"/>
      <c r="C779" s="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7"/>
      <c r="B780" s="1"/>
      <c r="C780" s="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7"/>
      <c r="B781" s="1"/>
      <c r="C781" s="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7"/>
      <c r="B782" s="1"/>
      <c r="C782" s="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7"/>
      <c r="B783" s="1"/>
      <c r="C783" s="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7"/>
      <c r="B784" s="1"/>
      <c r="C784" s="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7"/>
      <c r="B785" s="1"/>
      <c r="C785" s="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7"/>
      <c r="B786" s="1"/>
      <c r="C786" s="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7"/>
      <c r="B787" s="1"/>
      <c r="C787" s="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7"/>
      <c r="B788" s="1"/>
      <c r="C788" s="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7"/>
      <c r="B789" s="1"/>
      <c r="C789" s="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7"/>
      <c r="B790" s="1"/>
      <c r="C790" s="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7"/>
      <c r="B791" s="1"/>
      <c r="C791" s="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7"/>
      <c r="B792" s="1"/>
      <c r="C792" s="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7"/>
      <c r="B793" s="1"/>
      <c r="C793" s="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7"/>
      <c r="B794" s="1"/>
      <c r="C794" s="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7"/>
      <c r="B795" s="1"/>
      <c r="C795" s="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7"/>
      <c r="B796" s="1"/>
      <c r="C796" s="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7"/>
      <c r="B797" s="1"/>
      <c r="C797" s="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7"/>
      <c r="B798" s="1"/>
      <c r="C798" s="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7"/>
      <c r="B799" s="1"/>
      <c r="C799" s="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7"/>
      <c r="B800" s="1"/>
      <c r="C800" s="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7"/>
      <c r="B801" s="1"/>
      <c r="C801" s="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7"/>
      <c r="B802" s="1"/>
      <c r="C802" s="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7"/>
      <c r="B803" s="1"/>
      <c r="C803" s="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7"/>
      <c r="B804" s="1"/>
      <c r="C804" s="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7"/>
      <c r="B805" s="1"/>
      <c r="C805" s="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7"/>
      <c r="B806" s="1"/>
      <c r="C806" s="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7"/>
      <c r="B807" s="1"/>
      <c r="C807" s="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7"/>
      <c r="B808" s="1"/>
      <c r="C808" s="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7"/>
      <c r="B809" s="1"/>
      <c r="C809" s="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7"/>
      <c r="B810" s="1"/>
      <c r="C810" s="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7"/>
      <c r="B811" s="1"/>
      <c r="C811" s="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7"/>
      <c r="B812" s="1"/>
      <c r="C812" s="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7"/>
      <c r="B813" s="1"/>
      <c r="C813" s="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7"/>
      <c r="B814" s="1"/>
      <c r="C814" s="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7"/>
      <c r="B815" s="1"/>
      <c r="C815" s="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7"/>
      <c r="B816" s="1"/>
      <c r="C816" s="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7"/>
      <c r="B817" s="1"/>
      <c r="C817" s="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7"/>
      <c r="B818" s="1"/>
      <c r="C818" s="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7"/>
      <c r="B819" s="1"/>
      <c r="C819" s="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7"/>
      <c r="B820" s="1"/>
      <c r="C820" s="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7"/>
      <c r="B821" s="1"/>
      <c r="C821" s="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7"/>
      <c r="B822" s="1"/>
      <c r="C822" s="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7"/>
      <c r="B823" s="1"/>
      <c r="C823" s="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7"/>
      <c r="B824" s="1"/>
      <c r="C824" s="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7"/>
      <c r="B825" s="1"/>
      <c r="C825" s="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7"/>
      <c r="B826" s="1"/>
      <c r="C826" s="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7"/>
      <c r="B827" s="1"/>
      <c r="C827" s="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7"/>
      <c r="B828" s="1"/>
      <c r="C828" s="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7"/>
      <c r="B829" s="1"/>
      <c r="C829" s="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7"/>
      <c r="B830" s="1"/>
      <c r="C830" s="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7"/>
      <c r="B831" s="1"/>
      <c r="C831" s="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7"/>
      <c r="B832" s="1"/>
      <c r="C832" s="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7"/>
      <c r="B833" s="1"/>
      <c r="C833" s="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7"/>
      <c r="B834" s="1"/>
      <c r="C834" s="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7"/>
      <c r="B835" s="1"/>
      <c r="C835" s="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7"/>
      <c r="B836" s="1"/>
      <c r="C836" s="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7"/>
      <c r="B837" s="1"/>
      <c r="C837" s="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7"/>
      <c r="B838" s="1"/>
      <c r="C838" s="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7"/>
      <c r="B839" s="1"/>
      <c r="C839" s="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7"/>
      <c r="B840" s="1"/>
      <c r="C840" s="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7"/>
      <c r="B841" s="1"/>
      <c r="C841" s="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7"/>
      <c r="B842" s="1"/>
      <c r="C842" s="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7"/>
      <c r="B843" s="1"/>
      <c r="C843" s="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7"/>
      <c r="B844" s="1"/>
      <c r="C844" s="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7"/>
      <c r="B845" s="1"/>
      <c r="C845" s="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7"/>
      <c r="B846" s="1"/>
      <c r="C846" s="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7"/>
      <c r="B847" s="1"/>
      <c r="C847" s="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7"/>
      <c r="B848" s="1"/>
      <c r="C848" s="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7"/>
      <c r="B849" s="1"/>
      <c r="C849" s="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7"/>
      <c r="B850" s="1"/>
      <c r="C850" s="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7"/>
      <c r="B851" s="1"/>
      <c r="C851" s="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7"/>
      <c r="B852" s="1"/>
      <c r="C852" s="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7"/>
      <c r="B853" s="1"/>
      <c r="C853" s="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7"/>
      <c r="B854" s="1"/>
      <c r="C854" s="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7"/>
      <c r="B855" s="1"/>
      <c r="C855" s="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7"/>
      <c r="B856" s="1"/>
      <c r="C856" s="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7"/>
      <c r="B857" s="1"/>
      <c r="C857" s="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7"/>
      <c r="B858" s="1"/>
      <c r="C858" s="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7"/>
      <c r="B859" s="1"/>
      <c r="C859" s="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7"/>
      <c r="B860" s="1"/>
      <c r="C860" s="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7"/>
      <c r="B861" s="1"/>
      <c r="C861" s="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7"/>
      <c r="B862" s="1"/>
      <c r="C862" s="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7"/>
      <c r="B863" s="1"/>
      <c r="C863" s="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7"/>
      <c r="B864" s="1"/>
      <c r="C864" s="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7"/>
      <c r="B865" s="1"/>
      <c r="C865" s="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7"/>
      <c r="B866" s="1"/>
      <c r="C866" s="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7"/>
      <c r="B867" s="1"/>
      <c r="C867" s="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7"/>
      <c r="B868" s="1"/>
      <c r="C868" s="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7"/>
      <c r="B869" s="1"/>
      <c r="C869" s="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7"/>
      <c r="B870" s="1"/>
      <c r="C870" s="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7"/>
      <c r="B871" s="1"/>
      <c r="C871" s="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7"/>
      <c r="B872" s="1"/>
      <c r="C872" s="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7"/>
      <c r="B873" s="1"/>
      <c r="C873" s="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7"/>
      <c r="B874" s="1"/>
      <c r="C874" s="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7"/>
      <c r="B875" s="1"/>
      <c r="C875" s="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7"/>
      <c r="B876" s="1"/>
      <c r="C876" s="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7"/>
      <c r="B877" s="1"/>
      <c r="C877" s="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7"/>
      <c r="B878" s="1"/>
      <c r="C878" s="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7"/>
      <c r="B879" s="1"/>
      <c r="C879" s="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7"/>
      <c r="B880" s="1"/>
      <c r="C880" s="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7"/>
      <c r="B881" s="1"/>
      <c r="C881" s="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7"/>
      <c r="B882" s="1"/>
      <c r="C882" s="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7"/>
      <c r="B883" s="1"/>
      <c r="C883" s="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7"/>
      <c r="B884" s="1"/>
      <c r="C884" s="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7"/>
      <c r="B885" s="1"/>
      <c r="C885" s="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7"/>
      <c r="B886" s="1"/>
      <c r="C886" s="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7"/>
      <c r="B887" s="1"/>
      <c r="C887" s="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7"/>
      <c r="B888" s="1"/>
      <c r="C888" s="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7"/>
      <c r="B889" s="1"/>
      <c r="C889" s="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7"/>
      <c r="B890" s="1"/>
      <c r="C890" s="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7"/>
      <c r="B891" s="1"/>
      <c r="C891" s="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7"/>
      <c r="B892" s="1"/>
      <c r="C892" s="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7"/>
      <c r="B893" s="1"/>
      <c r="C893" s="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7"/>
      <c r="B894" s="1"/>
      <c r="C894" s="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7"/>
      <c r="B895" s="1"/>
      <c r="C895" s="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7"/>
      <c r="B896" s="1"/>
      <c r="C896" s="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7"/>
      <c r="B897" s="1"/>
      <c r="C897" s="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7"/>
      <c r="B898" s="1"/>
      <c r="C898" s="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7"/>
      <c r="B899" s="1"/>
      <c r="C899" s="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7"/>
      <c r="B900" s="1"/>
      <c r="C900" s="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7"/>
      <c r="B901" s="1"/>
      <c r="C901" s="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7"/>
      <c r="B902" s="1"/>
      <c r="C902" s="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7"/>
      <c r="B903" s="1"/>
      <c r="C903" s="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7"/>
      <c r="B904" s="1"/>
      <c r="C904" s="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7"/>
      <c r="B905" s="1"/>
      <c r="C905" s="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7"/>
      <c r="B906" s="1"/>
      <c r="C906" s="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7"/>
      <c r="B907" s="1"/>
      <c r="C907" s="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7"/>
      <c r="B908" s="1"/>
      <c r="C908" s="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7"/>
      <c r="B909" s="1"/>
      <c r="C909" s="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7"/>
      <c r="B910" s="1"/>
      <c r="C910" s="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7"/>
      <c r="B911" s="1"/>
      <c r="C911" s="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7"/>
      <c r="B912" s="1"/>
      <c r="C912" s="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7"/>
      <c r="B913" s="1"/>
      <c r="C913" s="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7"/>
      <c r="B914" s="1"/>
      <c r="C914" s="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7"/>
      <c r="B915" s="1"/>
      <c r="C915" s="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7"/>
      <c r="B916" s="1"/>
      <c r="C916" s="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7"/>
      <c r="B917" s="1"/>
      <c r="C917" s="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7"/>
      <c r="B918" s="1"/>
      <c r="C918" s="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7"/>
      <c r="B919" s="1"/>
      <c r="C919" s="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7"/>
      <c r="B920" s="1"/>
      <c r="C920" s="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7"/>
      <c r="B921" s="1"/>
      <c r="C921" s="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7"/>
      <c r="B922" s="1"/>
      <c r="C922" s="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7"/>
      <c r="B923" s="1"/>
      <c r="C923" s="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7"/>
      <c r="B924" s="1"/>
      <c r="C924" s="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7"/>
      <c r="B925" s="1"/>
      <c r="C925" s="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7"/>
      <c r="B926" s="1"/>
      <c r="C926" s="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7"/>
      <c r="B927" s="1"/>
      <c r="C927" s="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7"/>
      <c r="B928" s="1"/>
      <c r="C928" s="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7"/>
      <c r="B929" s="1"/>
      <c r="C929" s="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7"/>
      <c r="B930" s="1"/>
      <c r="C930" s="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7"/>
      <c r="B931" s="1"/>
      <c r="C931" s="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7"/>
      <c r="B932" s="1"/>
      <c r="C932" s="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7"/>
      <c r="B933" s="1"/>
      <c r="C933" s="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7"/>
      <c r="B934" s="1"/>
      <c r="C934" s="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7"/>
      <c r="B935" s="1"/>
      <c r="C935" s="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7"/>
      <c r="B936" s="1"/>
      <c r="C936" s="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7"/>
      <c r="B937" s="1"/>
      <c r="C937" s="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7"/>
      <c r="B938" s="1"/>
      <c r="C938" s="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7"/>
      <c r="B939" s="1"/>
      <c r="C939" s="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7"/>
      <c r="B940" s="1"/>
      <c r="C940" s="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7"/>
      <c r="B941" s="1"/>
      <c r="C941" s="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7"/>
      <c r="B942" s="1"/>
      <c r="C942" s="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7"/>
      <c r="B943" s="1"/>
      <c r="C943" s="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7"/>
      <c r="B944" s="1"/>
      <c r="C944" s="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7"/>
      <c r="B945" s="1"/>
      <c r="C945" s="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7"/>
      <c r="B946" s="1"/>
      <c r="C946" s="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7"/>
      <c r="B947" s="1"/>
      <c r="C947" s="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7"/>
      <c r="B948" s="1"/>
      <c r="C948" s="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7"/>
      <c r="B949" s="1"/>
      <c r="C949" s="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7"/>
      <c r="B950" s="1"/>
      <c r="C950" s="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7"/>
      <c r="B951" s="1"/>
      <c r="C951" s="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7"/>
      <c r="B952" s="1"/>
      <c r="C952" s="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7"/>
      <c r="B953" s="1"/>
      <c r="C953" s="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7"/>
      <c r="B954" s="1"/>
      <c r="C954" s="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7"/>
      <c r="B955" s="1"/>
      <c r="C955" s="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7"/>
      <c r="B956" s="1"/>
      <c r="C956" s="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7"/>
      <c r="B957" s="1"/>
      <c r="C957" s="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7"/>
      <c r="B958" s="1"/>
      <c r="C958" s="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7"/>
      <c r="B959" s="1"/>
      <c r="C959" s="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7"/>
      <c r="B960" s="1"/>
      <c r="C960" s="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7"/>
      <c r="B961" s="1"/>
      <c r="C961" s="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7"/>
      <c r="B962" s="1"/>
      <c r="C962" s="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7"/>
      <c r="B963" s="1"/>
      <c r="C963" s="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7"/>
      <c r="B964" s="1"/>
      <c r="C964" s="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7"/>
      <c r="B965" s="1"/>
      <c r="C965" s="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7"/>
      <c r="B966" s="1"/>
      <c r="C966" s="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7"/>
      <c r="B967" s="1"/>
      <c r="C967" s="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7"/>
      <c r="B968" s="1"/>
      <c r="C968" s="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7"/>
      <c r="B969" s="1"/>
      <c r="C969" s="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7"/>
      <c r="B970" s="1"/>
      <c r="C970" s="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7"/>
      <c r="B971" s="1"/>
      <c r="C971" s="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7"/>
      <c r="B972" s="1"/>
      <c r="C972" s="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7"/>
      <c r="B973" s="1"/>
      <c r="C973" s="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7"/>
      <c r="B974" s="1"/>
      <c r="C974" s="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7"/>
      <c r="B975" s="1"/>
      <c r="C975" s="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7"/>
      <c r="B976" s="1"/>
      <c r="C976" s="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7"/>
      <c r="B977" s="1"/>
      <c r="C977" s="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7"/>
      <c r="B978" s="1"/>
      <c r="C978" s="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7"/>
      <c r="B979" s="1"/>
      <c r="C979" s="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7"/>
      <c r="B980" s="1"/>
      <c r="C980" s="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7"/>
      <c r="B981" s="1"/>
      <c r="C981" s="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7"/>
      <c r="B982" s="1"/>
      <c r="C982" s="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7"/>
      <c r="B983" s="1"/>
      <c r="C983" s="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7"/>
      <c r="B984" s="1"/>
      <c r="C984" s="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7"/>
      <c r="B985" s="1"/>
      <c r="C985" s="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7"/>
      <c r="B986" s="1"/>
      <c r="C986" s="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7"/>
      <c r="B987" s="1"/>
      <c r="C987" s="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7"/>
      <c r="B988" s="1"/>
      <c r="C988" s="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7"/>
      <c r="B989" s="1"/>
      <c r="C989" s="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7"/>
      <c r="B990" s="1"/>
      <c r="C990" s="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7"/>
      <c r="B991" s="1"/>
      <c r="C991" s="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7"/>
      <c r="B992" s="1"/>
      <c r="C992" s="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7"/>
      <c r="B993" s="1"/>
      <c r="C993" s="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7"/>
      <c r="B994" s="1"/>
      <c r="C994" s="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7"/>
      <c r="B995" s="1"/>
      <c r="C995" s="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7"/>
      <c r="B996" s="1"/>
      <c r="C996" s="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7"/>
      <c r="B997" s="1"/>
      <c r="C997" s="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7"/>
      <c r="B998" s="1"/>
      <c r="C998" s="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7"/>
      <c r="B999" s="1"/>
      <c r="C999" s="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7"/>
      <c r="B1000" s="1"/>
      <c r="C1000" s="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0" customHeight="1">
      <c r="A1001" s="7"/>
      <c r="B1001" s="1"/>
      <c r="C1001" s="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0" customHeight="1">
      <c r="A1002" s="7"/>
      <c r="B1002" s="1"/>
      <c r="C1002" s="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0" customHeight="1">
      <c r="A1003" s="7"/>
      <c r="B1003" s="1"/>
      <c r="C1003" s="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0" customHeight="1">
      <c r="A1004" s="7"/>
      <c r="B1004" s="1"/>
      <c r="C1004" s="8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0" customHeight="1">
      <c r="A1005" s="7"/>
      <c r="B1005" s="1"/>
      <c r="C1005" s="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0" customHeight="1">
      <c r="A1006" s="7"/>
      <c r="B1006" s="1"/>
      <c r="C1006" s="8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0" customHeight="1">
      <c r="A1007" s="7"/>
      <c r="B1007" s="1"/>
      <c r="C1007" s="8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0" customHeight="1">
      <c r="A1008" s="7"/>
      <c r="B1008" s="1"/>
      <c r="C1008" s="8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0" customHeight="1">
      <c r="A1009" s="7"/>
      <c r="B1009" s="1"/>
      <c r="C1009" s="8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0" customHeight="1">
      <c r="A1010" s="7"/>
      <c r="B1010" s="1"/>
      <c r="C1010" s="8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2.0" customHeight="1">
      <c r="A1011" s="7"/>
      <c r="B1011" s="1"/>
      <c r="C1011" s="8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2.0" customHeight="1">
      <c r="A1012" s="7"/>
      <c r="B1012" s="1"/>
      <c r="C1012" s="8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0" customHeight="1">
      <c r="A1013" s="7"/>
      <c r="B1013" s="1"/>
      <c r="C1013" s="8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2.0" customHeight="1">
      <c r="A1014" s="7"/>
      <c r="B1014" s="1"/>
      <c r="C1014" s="8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2.0" customHeight="1">
      <c r="A1015" s="7"/>
      <c r="B1015" s="1"/>
      <c r="C1015" s="8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2.0" customHeight="1">
      <c r="A1016" s="7"/>
      <c r="B1016" s="1"/>
      <c r="C1016" s="8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2.0" customHeight="1">
      <c r="A1017" s="7"/>
      <c r="B1017" s="1"/>
      <c r="C1017" s="8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2.0" customHeight="1">
      <c r="A1018" s="7"/>
      <c r="B1018" s="1"/>
      <c r="C1018" s="8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2.0" customHeight="1">
      <c r="A1019" s="7"/>
      <c r="B1019" s="1"/>
      <c r="C1019" s="8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2.0" customHeight="1">
      <c r="A1020" s="7"/>
      <c r="B1020" s="1"/>
      <c r="C1020" s="8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63"/>
    <col customWidth="1" min="3" max="3" width="13.25"/>
  </cols>
  <sheetData>
    <row r="1" ht="12.0" customHeight="1">
      <c r="A1" s="7"/>
      <c r="B1" s="1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7"/>
      <c r="B2" s="12" t="s">
        <v>63</v>
      </c>
      <c r="C2" s="10"/>
      <c r="D2" s="13"/>
      <c r="E2" s="1"/>
      <c r="F2" s="12"/>
      <c r="G2" s="1"/>
      <c r="H2" s="1"/>
      <c r="I2" s="1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7"/>
      <c r="B3" s="13" t="s">
        <v>28</v>
      </c>
      <c r="C3" s="15">
        <f>-IRR!C27</f>
        <v>-0.1</v>
      </c>
      <c r="D3" s="13"/>
      <c r="E3" s="1"/>
      <c r="F3" s="12"/>
      <c r="G3" s="1"/>
      <c r="H3" s="1"/>
      <c r="I3" s="1"/>
      <c r="J3" s="1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7"/>
      <c r="B4" s="13" t="s">
        <v>64</v>
      </c>
      <c r="C4" s="10"/>
      <c r="D4" s="13"/>
      <c r="E4" s="1"/>
      <c r="F4" s="12"/>
      <c r="G4" s="1"/>
      <c r="H4" s="1"/>
      <c r="I4" s="1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7"/>
      <c r="B5" s="13" t="s">
        <v>65</v>
      </c>
      <c r="C5" s="10"/>
      <c r="D5" s="13"/>
      <c r="E5" s="1"/>
      <c r="F5" s="12"/>
      <c r="G5" s="1"/>
      <c r="H5" s="1"/>
      <c r="I5" s="1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13"/>
      <c r="C6" s="10"/>
      <c r="D6" s="13"/>
      <c r="E6" s="1"/>
      <c r="F6" s="12"/>
      <c r="G6" s="1"/>
      <c r="H6" s="1"/>
      <c r="I6" s="1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7"/>
      <c r="B7" s="13"/>
      <c r="C7" s="10"/>
      <c r="D7" s="13"/>
      <c r="E7" s="1"/>
      <c r="F7" s="12"/>
      <c r="G7" s="1"/>
      <c r="H7" s="1"/>
      <c r="I7" s="1"/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7"/>
      <c r="B8" s="13"/>
      <c r="C8" s="10"/>
      <c r="D8" s="13"/>
      <c r="E8" s="1"/>
      <c r="F8" s="12"/>
      <c r="G8" s="1"/>
      <c r="H8" s="1"/>
      <c r="I8" s="1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7"/>
      <c r="B9" s="9" t="s">
        <v>13</v>
      </c>
      <c r="C9" s="10">
        <v>1.0E7</v>
      </c>
      <c r="D9" s="11" t="s">
        <v>14</v>
      </c>
      <c r="E9" s="1"/>
      <c r="F9" s="12" t="s">
        <v>15</v>
      </c>
      <c r="G9" s="1"/>
      <c r="H9" s="1"/>
      <c r="I9" s="1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7"/>
      <c r="B10" s="9" t="s">
        <v>16</v>
      </c>
      <c r="C10" s="10">
        <v>200000.0</v>
      </c>
      <c r="D10" s="11" t="s">
        <v>14</v>
      </c>
      <c r="E10" s="1"/>
      <c r="F10" s="13" t="s">
        <v>17</v>
      </c>
      <c r="G10" s="10">
        <v>1000000.0</v>
      </c>
      <c r="H10" s="14" t="s">
        <v>18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7"/>
      <c r="B11" s="9" t="s">
        <v>19</v>
      </c>
      <c r="C11" s="10">
        <v>1000000.0</v>
      </c>
      <c r="D11" s="11" t="s">
        <v>14</v>
      </c>
      <c r="E11" s="1"/>
      <c r="F11" s="13" t="s">
        <v>20</v>
      </c>
      <c r="G11" s="10">
        <v>2000000.0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7"/>
      <c r="B12" s="9" t="s">
        <v>21</v>
      </c>
      <c r="C12" s="10">
        <v>5.0</v>
      </c>
      <c r="D12" s="11" t="s">
        <v>22</v>
      </c>
      <c r="E12" s="1"/>
      <c r="F12" s="13" t="s">
        <v>23</v>
      </c>
      <c r="G12" s="10">
        <v>3000000.0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7"/>
      <c r="B13" s="9" t="s">
        <v>24</v>
      </c>
      <c r="C13" s="10">
        <v>4000000.0</v>
      </c>
      <c r="D13" s="11" t="s">
        <v>14</v>
      </c>
      <c r="E13" s="1"/>
      <c r="F13" s="13" t="s">
        <v>25</v>
      </c>
      <c r="G13" s="10">
        <v>4000000.0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7"/>
      <c r="B14" s="9" t="s">
        <v>26</v>
      </c>
      <c r="C14" s="15">
        <v>0.22</v>
      </c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7"/>
      <c r="B15" s="9" t="s">
        <v>27</v>
      </c>
      <c r="C15" s="15">
        <v>0.2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7"/>
      <c r="B16" s="1"/>
      <c r="C16" s="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7"/>
      <c r="B17" s="1"/>
      <c r="C17" s="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7"/>
      <c r="B18" s="19"/>
      <c r="C18" s="20">
        <v>0.0</v>
      </c>
      <c r="D18" s="21">
        <v>1.0</v>
      </c>
      <c r="E18" s="21">
        <v>2.0</v>
      </c>
      <c r="F18" s="21">
        <v>3.0</v>
      </c>
      <c r="G18" s="21">
        <v>4.0</v>
      </c>
      <c r="H18" s="21">
        <v>5.0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7"/>
      <c r="B19" s="9" t="s">
        <v>28</v>
      </c>
      <c r="C19" s="22"/>
      <c r="D19" s="22">
        <f t="shared" ref="D19:H19" si="1">(1+$C$3)*$C$13</f>
        <v>3600000</v>
      </c>
      <c r="E19" s="22">
        <f t="shared" si="1"/>
        <v>3600000</v>
      </c>
      <c r="F19" s="22">
        <f t="shared" si="1"/>
        <v>3600000</v>
      </c>
      <c r="G19" s="22">
        <f t="shared" si="1"/>
        <v>3600000</v>
      </c>
      <c r="H19" s="22">
        <f t="shared" si="1"/>
        <v>3600000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7"/>
      <c r="B20" s="23" t="s">
        <v>29</v>
      </c>
      <c r="C20" s="24"/>
      <c r="D20" s="24">
        <f t="shared" ref="D20:H20" si="2">-$C$9/$C$12</f>
        <v>-2000000</v>
      </c>
      <c r="E20" s="24">
        <f t="shared" si="2"/>
        <v>-2000000</v>
      </c>
      <c r="F20" s="24">
        <f t="shared" si="2"/>
        <v>-2000000</v>
      </c>
      <c r="G20" s="24">
        <f t="shared" si="2"/>
        <v>-2000000</v>
      </c>
      <c r="H20" s="24">
        <f t="shared" si="2"/>
        <v>-2000000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7"/>
      <c r="B21" s="9" t="s">
        <v>30</v>
      </c>
      <c r="C21" s="22"/>
      <c r="D21" s="22">
        <f t="shared" ref="D21:H21" si="3">sum(D19:D20)</f>
        <v>1600000</v>
      </c>
      <c r="E21" s="22">
        <f t="shared" si="3"/>
        <v>1600000</v>
      </c>
      <c r="F21" s="22">
        <f t="shared" si="3"/>
        <v>1600000</v>
      </c>
      <c r="G21" s="22">
        <f t="shared" si="3"/>
        <v>1600000</v>
      </c>
      <c r="H21" s="22">
        <f t="shared" si="3"/>
        <v>1600000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7"/>
      <c r="B22" s="23" t="s">
        <v>31</v>
      </c>
      <c r="C22" s="24"/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7"/>
      <c r="B23" s="9" t="s">
        <v>32</v>
      </c>
      <c r="C23" s="22"/>
      <c r="D23" s="22">
        <f t="shared" ref="D23:H23" si="4">sum(D21:D22)</f>
        <v>1600000</v>
      </c>
      <c r="E23" s="22">
        <f t="shared" si="4"/>
        <v>1600000</v>
      </c>
      <c r="F23" s="22">
        <f t="shared" si="4"/>
        <v>1600000</v>
      </c>
      <c r="G23" s="22">
        <f t="shared" si="4"/>
        <v>1600000</v>
      </c>
      <c r="H23" s="22">
        <f t="shared" si="4"/>
        <v>1600000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7"/>
      <c r="B24" s="23" t="s">
        <v>33</v>
      </c>
      <c r="C24" s="24"/>
      <c r="D24" s="24">
        <f t="shared" ref="D24:H24" si="5">-$C$14*D23</f>
        <v>-352000</v>
      </c>
      <c r="E24" s="24">
        <f t="shared" si="5"/>
        <v>-352000</v>
      </c>
      <c r="F24" s="24">
        <f t="shared" si="5"/>
        <v>-352000</v>
      </c>
      <c r="G24" s="24">
        <f t="shared" si="5"/>
        <v>-352000</v>
      </c>
      <c r="H24" s="24">
        <f t="shared" si="5"/>
        <v>-352000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7"/>
      <c r="B25" s="9" t="s">
        <v>34</v>
      </c>
      <c r="C25" s="22"/>
      <c r="D25" s="22">
        <f t="shared" ref="D25:H25" si="6">sum(D23:D24)</f>
        <v>1248000</v>
      </c>
      <c r="E25" s="22">
        <f t="shared" si="6"/>
        <v>1248000</v>
      </c>
      <c r="F25" s="22">
        <f t="shared" si="6"/>
        <v>1248000</v>
      </c>
      <c r="G25" s="22">
        <f t="shared" si="6"/>
        <v>1248000</v>
      </c>
      <c r="H25" s="22">
        <f t="shared" si="6"/>
        <v>1248000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7"/>
      <c r="B26" s="23" t="s">
        <v>35</v>
      </c>
      <c r="C26" s="24"/>
      <c r="D26" s="24">
        <f t="shared" ref="D26:H26" si="7">-D20</f>
        <v>2000000</v>
      </c>
      <c r="E26" s="24">
        <f t="shared" si="7"/>
        <v>2000000</v>
      </c>
      <c r="F26" s="24">
        <f t="shared" si="7"/>
        <v>2000000</v>
      </c>
      <c r="G26" s="24">
        <f t="shared" si="7"/>
        <v>2000000</v>
      </c>
      <c r="H26" s="24">
        <f t="shared" si="7"/>
        <v>2000000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7"/>
      <c r="B27" s="9" t="s">
        <v>36</v>
      </c>
      <c r="C27" s="22"/>
      <c r="D27" s="22">
        <f t="shared" ref="D27:H27" si="8">sum(D25:D26)</f>
        <v>3248000</v>
      </c>
      <c r="E27" s="22">
        <f t="shared" si="8"/>
        <v>3248000</v>
      </c>
      <c r="F27" s="22">
        <f t="shared" si="8"/>
        <v>3248000</v>
      </c>
      <c r="G27" s="22">
        <f t="shared" si="8"/>
        <v>3248000</v>
      </c>
      <c r="H27" s="22">
        <f t="shared" si="8"/>
        <v>3248000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7"/>
      <c r="B28" s="23" t="s">
        <v>37</v>
      </c>
      <c r="C28" s="24"/>
      <c r="D28" s="24"/>
      <c r="E28" s="24"/>
      <c r="F28" s="24"/>
      <c r="G28" s="24"/>
      <c r="H28" s="24">
        <f>C54</f>
        <v>6340000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7"/>
      <c r="B29" s="9" t="s">
        <v>38</v>
      </c>
      <c r="C29" s="22">
        <f>C41</f>
        <v>-13156000</v>
      </c>
      <c r="D29" s="22">
        <f t="shared" ref="D29:H29" si="9">sum(D27:D28)</f>
        <v>3248000</v>
      </c>
      <c r="E29" s="22">
        <f t="shared" si="9"/>
        <v>3248000</v>
      </c>
      <c r="F29" s="22">
        <f t="shared" si="9"/>
        <v>3248000</v>
      </c>
      <c r="G29" s="22">
        <f t="shared" si="9"/>
        <v>3248000</v>
      </c>
      <c r="H29" s="22">
        <f t="shared" si="9"/>
        <v>9588000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7"/>
      <c r="B30" s="9" t="s">
        <v>39</v>
      </c>
      <c r="C30" s="25">
        <f>irr(C29:H29)</f>
        <v>0.1735365085</v>
      </c>
      <c r="D30" s="22"/>
      <c r="E30" s="22"/>
      <c r="F30" s="22"/>
      <c r="G30" s="22"/>
      <c r="H30" s="2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7"/>
      <c r="B31" s="9" t="str">
        <f>"NPV at "&amp;text(C15,"##,00%")</f>
        <v>NPV at 20%</v>
      </c>
      <c r="C31" s="22">
        <f t="array" ref="C31">npv(C15,C29:H29)</f>
        <v>-745489.9691</v>
      </c>
      <c r="D31" s="8"/>
      <c r="E31" s="8"/>
      <c r="F31" s="8"/>
      <c r="G31" s="8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7"/>
      <c r="B32" s="1"/>
      <c r="C32" s="8"/>
      <c r="D32" s="8"/>
      <c r="E32" s="8"/>
      <c r="F32" s="8"/>
      <c r="G32" s="8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7"/>
      <c r="B33" s="1"/>
      <c r="C33" s="8"/>
      <c r="D33" s="8"/>
      <c r="E33" s="8"/>
      <c r="F33" s="8"/>
      <c r="G33" s="8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7"/>
      <c r="B34" s="27" t="s">
        <v>46</v>
      </c>
      <c r="C34" s="2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29" t="s">
        <v>47</v>
      </c>
      <c r="B35" s="11" t="s">
        <v>48</v>
      </c>
      <c r="C35" s="30">
        <v>0.0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29" t="s">
        <v>47</v>
      </c>
      <c r="B36" s="11" t="s">
        <v>13</v>
      </c>
      <c r="C36" s="28">
        <f t="shared" ref="C36:C37" si="10">-C9</f>
        <v>-10000000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29" t="s">
        <v>47</v>
      </c>
      <c r="B37" s="11" t="s">
        <v>16</v>
      </c>
      <c r="C37" s="28">
        <f t="shared" si="10"/>
        <v>-200000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29" t="s">
        <v>47</v>
      </c>
      <c r="B38" s="11" t="s">
        <v>49</v>
      </c>
      <c r="C38" s="28">
        <f>-C14*C37</f>
        <v>44000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29" t="s">
        <v>47</v>
      </c>
      <c r="B39" s="11" t="s">
        <v>19</v>
      </c>
      <c r="C39" s="28">
        <f>-C11</f>
        <v>-1000000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29" t="s">
        <v>47</v>
      </c>
      <c r="B40" s="31" t="s">
        <v>50</v>
      </c>
      <c r="C40" s="32">
        <f>-G11</f>
        <v>-2000000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7"/>
      <c r="B41" s="11" t="s">
        <v>51</v>
      </c>
      <c r="C41" s="28">
        <f>sum(C35:C40)</f>
        <v>-13156000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7"/>
      <c r="B42" s="1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7"/>
      <c r="B43" s="1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7"/>
      <c r="B44" s="27" t="s">
        <v>52</v>
      </c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7"/>
      <c r="B45" s="11" t="s">
        <v>53</v>
      </c>
      <c r="C45" s="28">
        <f>C9</f>
        <v>10000000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7"/>
      <c r="B46" s="11" t="s">
        <v>54</v>
      </c>
      <c r="C46" s="28">
        <f>-C9/C12*5</f>
        <v>-10000000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7"/>
      <c r="B47" s="31" t="s">
        <v>55</v>
      </c>
      <c r="C47" s="32">
        <f>sum(C45:C46)</f>
        <v>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7"/>
      <c r="B48" s="31" t="s">
        <v>56</v>
      </c>
      <c r="C48" s="34">
        <v>3000000.0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7"/>
      <c r="B49" s="11" t="s">
        <v>57</v>
      </c>
      <c r="C49" s="28">
        <f>C48-C47</f>
        <v>3000000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7"/>
      <c r="B50" s="31" t="s">
        <v>58</v>
      </c>
      <c r="C50" s="32">
        <f>-C14*C49</f>
        <v>-660000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7"/>
      <c r="B51" s="11" t="s">
        <v>59</v>
      </c>
      <c r="C51" s="28">
        <f>sum(C49:C50)</f>
        <v>2340000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7"/>
      <c r="B52" s="11" t="s">
        <v>60</v>
      </c>
      <c r="C52" s="30">
        <f>C11</f>
        <v>1000000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7"/>
      <c r="B53" s="31" t="s">
        <v>61</v>
      </c>
      <c r="C53" s="32">
        <f>G12</f>
        <v>3000000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7"/>
      <c r="B54" s="11" t="s">
        <v>62</v>
      </c>
      <c r="C54" s="28">
        <f>sum(C51:C53)</f>
        <v>6340000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7"/>
      <c r="B55" s="1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7"/>
      <c r="B56" s="1"/>
      <c r="C56" s="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7"/>
      <c r="B57" s="1"/>
      <c r="C57" s="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7"/>
      <c r="B58" s="1"/>
      <c r="C58" s="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7"/>
      <c r="B59" s="1"/>
      <c r="C59" s="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7"/>
      <c r="B60" s="1"/>
      <c r="C60" s="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7"/>
      <c r="B61" s="1"/>
      <c r="C61" s="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7"/>
      <c r="B62" s="1"/>
      <c r="C62" s="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7"/>
      <c r="B63" s="1"/>
      <c r="C63" s="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7"/>
      <c r="B64" s="1"/>
      <c r="C64" s="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7"/>
      <c r="B65" s="1"/>
      <c r="C65" s="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7"/>
      <c r="B66" s="1"/>
      <c r="C66" s="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7"/>
      <c r="B67" s="1"/>
      <c r="C67" s="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7"/>
      <c r="B68" s="1"/>
      <c r="C68" s="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7"/>
      <c r="B69" s="1"/>
      <c r="C69" s="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7"/>
      <c r="B70" s="1"/>
      <c r="C70" s="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7"/>
      <c r="B71" s="1"/>
      <c r="C71" s="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7"/>
      <c r="B72" s="1"/>
      <c r="C72" s="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7"/>
      <c r="B73" s="1"/>
      <c r="C73" s="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7"/>
      <c r="B74" s="1"/>
      <c r="C74" s="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7"/>
      <c r="B75" s="1"/>
      <c r="C75" s="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7"/>
      <c r="B76" s="1"/>
      <c r="C76" s="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7"/>
      <c r="B77" s="1"/>
      <c r="C77" s="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7"/>
      <c r="B78" s="1"/>
      <c r="C78" s="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7"/>
      <c r="B79" s="1"/>
      <c r="C79" s="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7"/>
      <c r="B80" s="1"/>
      <c r="C80" s="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7"/>
      <c r="B81" s="1"/>
      <c r="C81" s="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7"/>
      <c r="B82" s="1"/>
      <c r="C82" s="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7"/>
      <c r="B83" s="1"/>
      <c r="C83" s="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7"/>
      <c r="B84" s="1"/>
      <c r="C84" s="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7"/>
      <c r="B85" s="1"/>
      <c r="C85" s="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7"/>
      <c r="B86" s="1"/>
      <c r="C86" s="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7"/>
      <c r="B87" s="1"/>
      <c r="C87" s="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7"/>
      <c r="B88" s="1"/>
      <c r="C88" s="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7"/>
      <c r="B89" s="1"/>
      <c r="C89" s="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7"/>
      <c r="B90" s="1"/>
      <c r="C90" s="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7"/>
      <c r="B91" s="1"/>
      <c r="C91" s="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7"/>
      <c r="B92" s="1"/>
      <c r="C92" s="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7"/>
      <c r="B93" s="1"/>
      <c r="C93" s="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7"/>
      <c r="B94" s="1"/>
      <c r="C94" s="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7"/>
      <c r="B95" s="1"/>
      <c r="C95" s="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7"/>
      <c r="B96" s="1"/>
      <c r="C96" s="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7"/>
      <c r="B97" s="1"/>
      <c r="C97" s="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7"/>
      <c r="B98" s="1"/>
      <c r="C98" s="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7"/>
      <c r="B99" s="1"/>
      <c r="C99" s="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7"/>
      <c r="B100" s="1"/>
      <c r="C100" s="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7"/>
      <c r="B101" s="1"/>
      <c r="C101" s="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7"/>
      <c r="B102" s="1"/>
      <c r="C102" s="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7"/>
      <c r="B103" s="1"/>
      <c r="C103" s="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7"/>
      <c r="B104" s="1"/>
      <c r="C104" s="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7"/>
      <c r="B105" s="1"/>
      <c r="C105" s="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7"/>
      <c r="B106" s="1"/>
      <c r="C106" s="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7"/>
      <c r="B107" s="1"/>
      <c r="C107" s="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7"/>
      <c r="B108" s="1"/>
      <c r="C108" s="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7"/>
      <c r="B109" s="1"/>
      <c r="C109" s="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7"/>
      <c r="B110" s="1"/>
      <c r="C110" s="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7"/>
      <c r="B111" s="1"/>
      <c r="C111" s="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7"/>
      <c r="B112" s="1"/>
      <c r="C112" s="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7"/>
      <c r="B113" s="1"/>
      <c r="C113" s="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7"/>
      <c r="B114" s="1"/>
      <c r="C114" s="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7"/>
      <c r="B115" s="1"/>
      <c r="C115" s="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7"/>
      <c r="B116" s="1"/>
      <c r="C116" s="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7"/>
      <c r="B117" s="1"/>
      <c r="C117" s="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7"/>
      <c r="B118" s="1"/>
      <c r="C118" s="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7"/>
      <c r="B119" s="1"/>
      <c r="C119" s="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7"/>
      <c r="B120" s="1"/>
      <c r="C120" s="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7"/>
      <c r="B121" s="1"/>
      <c r="C121" s="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7"/>
      <c r="B122" s="1"/>
      <c r="C122" s="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7"/>
      <c r="B123" s="1"/>
      <c r="C123" s="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7"/>
      <c r="B124" s="1"/>
      <c r="C124" s="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7"/>
      <c r="B125" s="1"/>
      <c r="C125" s="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7"/>
      <c r="B126" s="1"/>
      <c r="C126" s="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7"/>
      <c r="B127" s="1"/>
      <c r="C127" s="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7"/>
      <c r="B128" s="1"/>
      <c r="C128" s="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7"/>
      <c r="B129" s="1"/>
      <c r="C129" s="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7"/>
      <c r="B130" s="1"/>
      <c r="C130" s="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7"/>
      <c r="B131" s="1"/>
      <c r="C131" s="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7"/>
      <c r="B132" s="1"/>
      <c r="C132" s="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7"/>
      <c r="B133" s="1"/>
      <c r="C133" s="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7"/>
      <c r="B134" s="1"/>
      <c r="C134" s="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7"/>
      <c r="B135" s="1"/>
      <c r="C135" s="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7"/>
      <c r="B136" s="1"/>
      <c r="C136" s="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7"/>
      <c r="B137" s="1"/>
      <c r="C137" s="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7"/>
      <c r="B138" s="1"/>
      <c r="C138" s="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7"/>
      <c r="B139" s="1"/>
      <c r="C139" s="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7"/>
      <c r="B140" s="1"/>
      <c r="C140" s="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7"/>
      <c r="B141" s="1"/>
      <c r="C141" s="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7"/>
      <c r="B142" s="1"/>
      <c r="C142" s="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7"/>
      <c r="B143" s="1"/>
      <c r="C143" s="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7"/>
      <c r="B144" s="1"/>
      <c r="C144" s="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7"/>
      <c r="B145" s="1"/>
      <c r="C145" s="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7"/>
      <c r="B146" s="1"/>
      <c r="C146" s="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7"/>
      <c r="B147" s="1"/>
      <c r="C147" s="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7"/>
      <c r="B148" s="1"/>
      <c r="C148" s="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7"/>
      <c r="B149" s="1"/>
      <c r="C149" s="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7"/>
      <c r="B150" s="1"/>
      <c r="C150" s="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7"/>
      <c r="B151" s="1"/>
      <c r="C151" s="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7"/>
      <c r="B152" s="1"/>
      <c r="C152" s="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7"/>
      <c r="B153" s="1"/>
      <c r="C153" s="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7"/>
      <c r="B154" s="1"/>
      <c r="C154" s="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7"/>
      <c r="B155" s="1"/>
      <c r="C155" s="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7"/>
      <c r="B156" s="1"/>
      <c r="C156" s="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7"/>
      <c r="B157" s="1"/>
      <c r="C157" s="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7"/>
      <c r="B158" s="1"/>
      <c r="C158" s="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7"/>
      <c r="B159" s="1"/>
      <c r="C159" s="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7"/>
      <c r="B160" s="1"/>
      <c r="C160" s="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7"/>
      <c r="B161" s="1"/>
      <c r="C161" s="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7"/>
      <c r="B162" s="1"/>
      <c r="C162" s="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7"/>
      <c r="B163" s="1"/>
      <c r="C163" s="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7"/>
      <c r="B164" s="1"/>
      <c r="C164" s="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7"/>
      <c r="B165" s="1"/>
      <c r="C165" s="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7"/>
      <c r="B166" s="1"/>
      <c r="C166" s="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7"/>
      <c r="B167" s="1"/>
      <c r="C167" s="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7"/>
      <c r="B168" s="1"/>
      <c r="C168" s="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7"/>
      <c r="B169" s="1"/>
      <c r="C169" s="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7"/>
      <c r="B170" s="1"/>
      <c r="C170" s="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7"/>
      <c r="B171" s="1"/>
      <c r="C171" s="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7"/>
      <c r="B172" s="1"/>
      <c r="C172" s="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7"/>
      <c r="B173" s="1"/>
      <c r="C173" s="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7"/>
      <c r="B174" s="1"/>
      <c r="C174" s="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7"/>
      <c r="B175" s="1"/>
      <c r="C175" s="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7"/>
      <c r="B176" s="1"/>
      <c r="C176" s="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7"/>
      <c r="B177" s="1"/>
      <c r="C177" s="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7"/>
      <c r="B178" s="1"/>
      <c r="C178" s="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7"/>
      <c r="B179" s="1"/>
      <c r="C179" s="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7"/>
      <c r="B180" s="1"/>
      <c r="C180" s="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7"/>
      <c r="B181" s="1"/>
      <c r="C181" s="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7"/>
      <c r="B182" s="1"/>
      <c r="C182" s="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7"/>
      <c r="B183" s="1"/>
      <c r="C183" s="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7"/>
      <c r="B184" s="1"/>
      <c r="C184" s="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7"/>
      <c r="B185" s="1"/>
      <c r="C185" s="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7"/>
      <c r="B186" s="1"/>
      <c r="C186" s="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7"/>
      <c r="B187" s="1"/>
      <c r="C187" s="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7"/>
      <c r="B188" s="1"/>
      <c r="C188" s="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7"/>
      <c r="B189" s="1"/>
      <c r="C189" s="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7"/>
      <c r="B190" s="1"/>
      <c r="C190" s="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7"/>
      <c r="B191" s="1"/>
      <c r="C191" s="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7"/>
      <c r="B192" s="1"/>
      <c r="C192" s="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7"/>
      <c r="B193" s="1"/>
      <c r="C193" s="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7"/>
      <c r="B194" s="1"/>
      <c r="C194" s="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7"/>
      <c r="B195" s="1"/>
      <c r="C195" s="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7"/>
      <c r="B196" s="1"/>
      <c r="C196" s="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7"/>
      <c r="B197" s="1"/>
      <c r="C197" s="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7"/>
      <c r="B198" s="1"/>
      <c r="C198" s="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7"/>
      <c r="B199" s="1"/>
      <c r="C199" s="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7"/>
      <c r="B200" s="1"/>
      <c r="C200" s="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7"/>
      <c r="B201" s="1"/>
      <c r="C201" s="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7"/>
      <c r="B202" s="1"/>
      <c r="C202" s="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7"/>
      <c r="B203" s="1"/>
      <c r="C203" s="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7"/>
      <c r="B204" s="1"/>
      <c r="C204" s="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7"/>
      <c r="B205" s="1"/>
      <c r="C205" s="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7"/>
      <c r="B206" s="1"/>
      <c r="C206" s="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7"/>
      <c r="B207" s="1"/>
      <c r="C207" s="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7"/>
      <c r="B208" s="1"/>
      <c r="C208" s="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7"/>
      <c r="B209" s="1"/>
      <c r="C209" s="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7"/>
      <c r="B210" s="1"/>
      <c r="C210" s="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7"/>
      <c r="B211" s="1"/>
      <c r="C211" s="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7"/>
      <c r="B212" s="1"/>
      <c r="C212" s="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7"/>
      <c r="B213" s="1"/>
      <c r="C213" s="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7"/>
      <c r="B214" s="1"/>
      <c r="C214" s="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7"/>
      <c r="B215" s="1"/>
      <c r="C215" s="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7"/>
      <c r="B216" s="1"/>
      <c r="C216" s="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7"/>
      <c r="B217" s="1"/>
      <c r="C217" s="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7"/>
      <c r="B218" s="1"/>
      <c r="C218" s="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7"/>
      <c r="B219" s="1"/>
      <c r="C219" s="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7"/>
      <c r="B220" s="1"/>
      <c r="C220" s="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7"/>
      <c r="B221" s="1"/>
      <c r="C221" s="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7"/>
      <c r="B222" s="1"/>
      <c r="C222" s="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7"/>
      <c r="B223" s="1"/>
      <c r="C223" s="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7"/>
      <c r="B224" s="1"/>
      <c r="C224" s="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7"/>
      <c r="B225" s="1"/>
      <c r="C225" s="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7"/>
      <c r="B226" s="1"/>
      <c r="C226" s="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7"/>
      <c r="B227" s="1"/>
      <c r="C227" s="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7"/>
      <c r="B228" s="1"/>
      <c r="C228" s="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7"/>
      <c r="B229" s="1"/>
      <c r="C229" s="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7"/>
      <c r="B230" s="1"/>
      <c r="C230" s="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7"/>
      <c r="B231" s="1"/>
      <c r="C231" s="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7"/>
      <c r="B232" s="1"/>
      <c r="C232" s="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7"/>
      <c r="B233" s="1"/>
      <c r="C233" s="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7"/>
      <c r="B234" s="1"/>
      <c r="C234" s="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7"/>
      <c r="B235" s="1"/>
      <c r="C235" s="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7"/>
      <c r="B236" s="1"/>
      <c r="C236" s="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7"/>
      <c r="B237" s="1"/>
      <c r="C237" s="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7"/>
      <c r="B238" s="1"/>
      <c r="C238" s="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7"/>
      <c r="B239" s="1"/>
      <c r="C239" s="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7"/>
      <c r="B240" s="1"/>
      <c r="C240" s="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7"/>
      <c r="B241" s="1"/>
      <c r="C241" s="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7"/>
      <c r="B242" s="1"/>
      <c r="C242" s="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7"/>
      <c r="B243" s="1"/>
      <c r="C243" s="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7"/>
      <c r="B244" s="1"/>
      <c r="C244" s="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7"/>
      <c r="B245" s="1"/>
      <c r="C245" s="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7"/>
      <c r="B246" s="1"/>
      <c r="C246" s="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7"/>
      <c r="B247" s="1"/>
      <c r="C247" s="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7"/>
      <c r="B248" s="1"/>
      <c r="C248" s="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7"/>
      <c r="B249" s="1"/>
      <c r="C249" s="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7"/>
      <c r="B250" s="1"/>
      <c r="C250" s="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7"/>
      <c r="B251" s="1"/>
      <c r="C251" s="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7"/>
      <c r="B252" s="1"/>
      <c r="C252" s="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7"/>
      <c r="B253" s="1"/>
      <c r="C253" s="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7"/>
      <c r="B254" s="1"/>
      <c r="C254" s="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7"/>
      <c r="B255" s="1"/>
      <c r="C255" s="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7"/>
      <c r="B256" s="1"/>
      <c r="C256" s="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7"/>
      <c r="B257" s="1"/>
      <c r="C257" s="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7"/>
      <c r="B258" s="1"/>
      <c r="C258" s="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7"/>
      <c r="B259" s="1"/>
      <c r="C259" s="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7"/>
      <c r="B260" s="1"/>
      <c r="C260" s="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7"/>
      <c r="B261" s="1"/>
      <c r="C261" s="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7"/>
      <c r="B262" s="1"/>
      <c r="C262" s="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7"/>
      <c r="B263" s="1"/>
      <c r="C263" s="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7"/>
      <c r="B264" s="1"/>
      <c r="C264" s="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7"/>
      <c r="B265" s="1"/>
      <c r="C265" s="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7"/>
      <c r="B266" s="1"/>
      <c r="C266" s="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7"/>
      <c r="B267" s="1"/>
      <c r="C267" s="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7"/>
      <c r="B268" s="1"/>
      <c r="C268" s="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7"/>
      <c r="B269" s="1"/>
      <c r="C269" s="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7"/>
      <c r="B270" s="1"/>
      <c r="C270" s="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7"/>
      <c r="B271" s="1"/>
      <c r="C271" s="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7"/>
      <c r="B272" s="1"/>
      <c r="C272" s="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7"/>
      <c r="B273" s="1"/>
      <c r="C273" s="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7"/>
      <c r="B274" s="1"/>
      <c r="C274" s="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7"/>
      <c r="B275" s="1"/>
      <c r="C275" s="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7"/>
      <c r="B276" s="1"/>
      <c r="C276" s="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7"/>
      <c r="B277" s="1"/>
      <c r="C277" s="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7"/>
      <c r="B278" s="1"/>
      <c r="C278" s="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7"/>
      <c r="B279" s="1"/>
      <c r="C279" s="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7"/>
      <c r="B280" s="1"/>
      <c r="C280" s="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7"/>
      <c r="B281" s="1"/>
      <c r="C281" s="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7"/>
      <c r="B282" s="1"/>
      <c r="C282" s="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7"/>
      <c r="B283" s="1"/>
      <c r="C283" s="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7"/>
      <c r="B284" s="1"/>
      <c r="C284" s="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7"/>
      <c r="B285" s="1"/>
      <c r="C285" s="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7"/>
      <c r="B286" s="1"/>
      <c r="C286" s="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7"/>
      <c r="B287" s="1"/>
      <c r="C287" s="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7"/>
      <c r="B288" s="1"/>
      <c r="C288" s="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7"/>
      <c r="B289" s="1"/>
      <c r="C289" s="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7"/>
      <c r="B290" s="1"/>
      <c r="C290" s="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7"/>
      <c r="B291" s="1"/>
      <c r="C291" s="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7"/>
      <c r="B292" s="1"/>
      <c r="C292" s="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7"/>
      <c r="B293" s="1"/>
      <c r="C293" s="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7"/>
      <c r="B294" s="1"/>
      <c r="C294" s="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7"/>
      <c r="B295" s="1"/>
      <c r="C295" s="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7"/>
      <c r="B296" s="1"/>
      <c r="C296" s="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7"/>
      <c r="B297" s="1"/>
      <c r="C297" s="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7"/>
      <c r="B298" s="1"/>
      <c r="C298" s="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7"/>
      <c r="B299" s="1"/>
      <c r="C299" s="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7"/>
      <c r="B300" s="1"/>
      <c r="C300" s="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7"/>
      <c r="B301" s="1"/>
      <c r="C301" s="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7"/>
      <c r="B302" s="1"/>
      <c r="C302" s="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7"/>
      <c r="B303" s="1"/>
      <c r="C303" s="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7"/>
      <c r="B304" s="1"/>
      <c r="C304" s="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7"/>
      <c r="B305" s="1"/>
      <c r="C305" s="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7"/>
      <c r="B306" s="1"/>
      <c r="C306" s="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7"/>
      <c r="B307" s="1"/>
      <c r="C307" s="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7"/>
      <c r="B308" s="1"/>
      <c r="C308" s="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7"/>
      <c r="B309" s="1"/>
      <c r="C309" s="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7"/>
      <c r="B310" s="1"/>
      <c r="C310" s="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7"/>
      <c r="B311" s="1"/>
      <c r="C311" s="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7"/>
      <c r="B312" s="1"/>
      <c r="C312" s="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7"/>
      <c r="B313" s="1"/>
      <c r="C313" s="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7"/>
      <c r="B314" s="1"/>
      <c r="C314" s="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7"/>
      <c r="B315" s="1"/>
      <c r="C315" s="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7"/>
      <c r="B316" s="1"/>
      <c r="C316" s="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7"/>
      <c r="B317" s="1"/>
      <c r="C317" s="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7"/>
      <c r="B318" s="1"/>
      <c r="C318" s="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7"/>
      <c r="B319" s="1"/>
      <c r="C319" s="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7"/>
      <c r="B320" s="1"/>
      <c r="C320" s="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7"/>
      <c r="B321" s="1"/>
      <c r="C321" s="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7"/>
      <c r="B322" s="1"/>
      <c r="C322" s="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7"/>
      <c r="B323" s="1"/>
      <c r="C323" s="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7"/>
      <c r="B324" s="1"/>
      <c r="C324" s="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7"/>
      <c r="B325" s="1"/>
      <c r="C325" s="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7"/>
      <c r="B326" s="1"/>
      <c r="C326" s="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7"/>
      <c r="B327" s="1"/>
      <c r="C327" s="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7"/>
      <c r="B328" s="1"/>
      <c r="C328" s="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7"/>
      <c r="B329" s="1"/>
      <c r="C329" s="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7"/>
      <c r="B330" s="1"/>
      <c r="C330" s="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7"/>
      <c r="B331" s="1"/>
      <c r="C331" s="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7"/>
      <c r="B332" s="1"/>
      <c r="C332" s="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7"/>
      <c r="B333" s="1"/>
      <c r="C333" s="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7"/>
      <c r="B334" s="1"/>
      <c r="C334" s="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7"/>
      <c r="B335" s="1"/>
      <c r="C335" s="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7"/>
      <c r="B336" s="1"/>
      <c r="C336" s="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7"/>
      <c r="B337" s="1"/>
      <c r="C337" s="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7"/>
      <c r="B338" s="1"/>
      <c r="C338" s="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7"/>
      <c r="B339" s="1"/>
      <c r="C339" s="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7"/>
      <c r="B340" s="1"/>
      <c r="C340" s="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7"/>
      <c r="B341" s="1"/>
      <c r="C341" s="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7"/>
      <c r="B342" s="1"/>
      <c r="C342" s="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7"/>
      <c r="B343" s="1"/>
      <c r="C343" s="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7"/>
      <c r="B344" s="1"/>
      <c r="C344" s="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7"/>
      <c r="B345" s="1"/>
      <c r="C345" s="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7"/>
      <c r="B346" s="1"/>
      <c r="C346" s="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7"/>
      <c r="B347" s="1"/>
      <c r="C347" s="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7"/>
      <c r="B348" s="1"/>
      <c r="C348" s="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7"/>
      <c r="B349" s="1"/>
      <c r="C349" s="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7"/>
      <c r="B350" s="1"/>
      <c r="C350" s="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7"/>
      <c r="B351" s="1"/>
      <c r="C351" s="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7"/>
      <c r="B352" s="1"/>
      <c r="C352" s="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7"/>
      <c r="B353" s="1"/>
      <c r="C353" s="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7"/>
      <c r="B354" s="1"/>
      <c r="C354" s="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7"/>
      <c r="B355" s="1"/>
      <c r="C355" s="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7"/>
      <c r="B356" s="1"/>
      <c r="C356" s="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7"/>
      <c r="B357" s="1"/>
      <c r="C357" s="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7"/>
      <c r="B358" s="1"/>
      <c r="C358" s="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7"/>
      <c r="B359" s="1"/>
      <c r="C359" s="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7"/>
      <c r="B360" s="1"/>
      <c r="C360" s="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7"/>
      <c r="B361" s="1"/>
      <c r="C361" s="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7"/>
      <c r="B362" s="1"/>
      <c r="C362" s="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7"/>
      <c r="B363" s="1"/>
      <c r="C363" s="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7"/>
      <c r="B364" s="1"/>
      <c r="C364" s="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7"/>
      <c r="B365" s="1"/>
      <c r="C365" s="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7"/>
      <c r="B366" s="1"/>
      <c r="C366" s="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7"/>
      <c r="B367" s="1"/>
      <c r="C367" s="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7"/>
      <c r="B368" s="1"/>
      <c r="C368" s="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7"/>
      <c r="B369" s="1"/>
      <c r="C369" s="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7"/>
      <c r="B370" s="1"/>
      <c r="C370" s="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7"/>
      <c r="B371" s="1"/>
      <c r="C371" s="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7"/>
      <c r="B372" s="1"/>
      <c r="C372" s="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7"/>
      <c r="B373" s="1"/>
      <c r="C373" s="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7"/>
      <c r="B374" s="1"/>
      <c r="C374" s="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7"/>
      <c r="B375" s="1"/>
      <c r="C375" s="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7"/>
      <c r="B376" s="1"/>
      <c r="C376" s="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7"/>
      <c r="B377" s="1"/>
      <c r="C377" s="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7"/>
      <c r="B378" s="1"/>
      <c r="C378" s="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7"/>
      <c r="B379" s="1"/>
      <c r="C379" s="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7"/>
      <c r="B380" s="1"/>
      <c r="C380" s="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7"/>
      <c r="B381" s="1"/>
      <c r="C381" s="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7"/>
      <c r="B382" s="1"/>
      <c r="C382" s="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7"/>
      <c r="B383" s="1"/>
      <c r="C383" s="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7"/>
      <c r="B384" s="1"/>
      <c r="C384" s="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7"/>
      <c r="B385" s="1"/>
      <c r="C385" s="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7"/>
      <c r="B386" s="1"/>
      <c r="C386" s="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7"/>
      <c r="B387" s="1"/>
      <c r="C387" s="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7"/>
      <c r="B388" s="1"/>
      <c r="C388" s="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7"/>
      <c r="B389" s="1"/>
      <c r="C389" s="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7"/>
      <c r="B390" s="1"/>
      <c r="C390" s="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7"/>
      <c r="B391" s="1"/>
      <c r="C391" s="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7"/>
      <c r="B392" s="1"/>
      <c r="C392" s="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7"/>
      <c r="B393" s="1"/>
      <c r="C393" s="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7"/>
      <c r="B394" s="1"/>
      <c r="C394" s="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7"/>
      <c r="B395" s="1"/>
      <c r="C395" s="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7"/>
      <c r="B396" s="1"/>
      <c r="C396" s="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7"/>
      <c r="B397" s="1"/>
      <c r="C397" s="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7"/>
      <c r="B398" s="1"/>
      <c r="C398" s="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7"/>
      <c r="B399" s="1"/>
      <c r="C399" s="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7"/>
      <c r="B400" s="1"/>
      <c r="C400" s="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7"/>
      <c r="B401" s="1"/>
      <c r="C401" s="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7"/>
      <c r="B402" s="1"/>
      <c r="C402" s="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7"/>
      <c r="B403" s="1"/>
      <c r="C403" s="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7"/>
      <c r="B404" s="1"/>
      <c r="C404" s="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7"/>
      <c r="B405" s="1"/>
      <c r="C405" s="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7"/>
      <c r="B406" s="1"/>
      <c r="C406" s="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7"/>
      <c r="B407" s="1"/>
      <c r="C407" s="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7"/>
      <c r="B408" s="1"/>
      <c r="C408" s="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7"/>
      <c r="B409" s="1"/>
      <c r="C409" s="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7"/>
      <c r="B410" s="1"/>
      <c r="C410" s="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7"/>
      <c r="B411" s="1"/>
      <c r="C411" s="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7"/>
      <c r="B412" s="1"/>
      <c r="C412" s="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7"/>
      <c r="B413" s="1"/>
      <c r="C413" s="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7"/>
      <c r="B414" s="1"/>
      <c r="C414" s="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7"/>
      <c r="B415" s="1"/>
      <c r="C415" s="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7"/>
      <c r="B416" s="1"/>
      <c r="C416" s="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7"/>
      <c r="B417" s="1"/>
      <c r="C417" s="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7"/>
      <c r="B418" s="1"/>
      <c r="C418" s="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7"/>
      <c r="B419" s="1"/>
      <c r="C419" s="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7"/>
      <c r="B420" s="1"/>
      <c r="C420" s="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7"/>
      <c r="B421" s="1"/>
      <c r="C421" s="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7"/>
      <c r="B422" s="1"/>
      <c r="C422" s="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7"/>
      <c r="B423" s="1"/>
      <c r="C423" s="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7"/>
      <c r="B424" s="1"/>
      <c r="C424" s="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7"/>
      <c r="B425" s="1"/>
      <c r="C425" s="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7"/>
      <c r="B426" s="1"/>
      <c r="C426" s="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7"/>
      <c r="B427" s="1"/>
      <c r="C427" s="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7"/>
      <c r="B428" s="1"/>
      <c r="C428" s="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7"/>
      <c r="B429" s="1"/>
      <c r="C429" s="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7"/>
      <c r="B430" s="1"/>
      <c r="C430" s="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7"/>
      <c r="B431" s="1"/>
      <c r="C431" s="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7"/>
      <c r="B432" s="1"/>
      <c r="C432" s="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7"/>
      <c r="B433" s="1"/>
      <c r="C433" s="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7"/>
      <c r="B434" s="1"/>
      <c r="C434" s="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7"/>
      <c r="B435" s="1"/>
      <c r="C435" s="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7"/>
      <c r="B436" s="1"/>
      <c r="C436" s="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7"/>
      <c r="B437" s="1"/>
      <c r="C437" s="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7"/>
      <c r="B438" s="1"/>
      <c r="C438" s="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7"/>
      <c r="B439" s="1"/>
      <c r="C439" s="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7"/>
      <c r="B440" s="1"/>
      <c r="C440" s="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7"/>
      <c r="B441" s="1"/>
      <c r="C441" s="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7"/>
      <c r="B442" s="1"/>
      <c r="C442" s="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7"/>
      <c r="B443" s="1"/>
      <c r="C443" s="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7"/>
      <c r="B444" s="1"/>
      <c r="C444" s="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7"/>
      <c r="B445" s="1"/>
      <c r="C445" s="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7"/>
      <c r="B446" s="1"/>
      <c r="C446" s="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7"/>
      <c r="B447" s="1"/>
      <c r="C447" s="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7"/>
      <c r="B448" s="1"/>
      <c r="C448" s="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7"/>
      <c r="B449" s="1"/>
      <c r="C449" s="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7"/>
      <c r="B450" s="1"/>
      <c r="C450" s="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7"/>
      <c r="B451" s="1"/>
      <c r="C451" s="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7"/>
      <c r="B452" s="1"/>
      <c r="C452" s="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7"/>
      <c r="B453" s="1"/>
      <c r="C453" s="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7"/>
      <c r="B454" s="1"/>
      <c r="C454" s="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7"/>
      <c r="B455" s="1"/>
      <c r="C455" s="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7"/>
      <c r="B456" s="1"/>
      <c r="C456" s="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7"/>
      <c r="B457" s="1"/>
      <c r="C457" s="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7"/>
      <c r="B458" s="1"/>
      <c r="C458" s="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7"/>
      <c r="B459" s="1"/>
      <c r="C459" s="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7"/>
      <c r="B460" s="1"/>
      <c r="C460" s="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7"/>
      <c r="B461" s="1"/>
      <c r="C461" s="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7"/>
      <c r="B462" s="1"/>
      <c r="C462" s="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7"/>
      <c r="B463" s="1"/>
      <c r="C463" s="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7"/>
      <c r="B464" s="1"/>
      <c r="C464" s="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7"/>
      <c r="B465" s="1"/>
      <c r="C465" s="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7"/>
      <c r="B466" s="1"/>
      <c r="C466" s="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7"/>
      <c r="B467" s="1"/>
      <c r="C467" s="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7"/>
      <c r="B468" s="1"/>
      <c r="C468" s="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7"/>
      <c r="B469" s="1"/>
      <c r="C469" s="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7"/>
      <c r="B470" s="1"/>
      <c r="C470" s="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7"/>
      <c r="B471" s="1"/>
      <c r="C471" s="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7"/>
      <c r="B472" s="1"/>
      <c r="C472" s="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7"/>
      <c r="B473" s="1"/>
      <c r="C473" s="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7"/>
      <c r="B474" s="1"/>
      <c r="C474" s="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7"/>
      <c r="B475" s="1"/>
      <c r="C475" s="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7"/>
      <c r="B476" s="1"/>
      <c r="C476" s="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7"/>
      <c r="B477" s="1"/>
      <c r="C477" s="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7"/>
      <c r="B478" s="1"/>
      <c r="C478" s="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7"/>
      <c r="B479" s="1"/>
      <c r="C479" s="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7"/>
      <c r="B480" s="1"/>
      <c r="C480" s="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7"/>
      <c r="B481" s="1"/>
      <c r="C481" s="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7"/>
      <c r="B482" s="1"/>
      <c r="C482" s="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7"/>
      <c r="B483" s="1"/>
      <c r="C483" s="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7"/>
      <c r="B484" s="1"/>
      <c r="C484" s="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7"/>
      <c r="B485" s="1"/>
      <c r="C485" s="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7"/>
      <c r="B486" s="1"/>
      <c r="C486" s="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7"/>
      <c r="B487" s="1"/>
      <c r="C487" s="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7"/>
      <c r="B488" s="1"/>
      <c r="C488" s="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7"/>
      <c r="B489" s="1"/>
      <c r="C489" s="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7"/>
      <c r="B490" s="1"/>
      <c r="C490" s="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7"/>
      <c r="B491" s="1"/>
      <c r="C491" s="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7"/>
      <c r="B492" s="1"/>
      <c r="C492" s="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7"/>
      <c r="B493" s="1"/>
      <c r="C493" s="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7"/>
      <c r="B494" s="1"/>
      <c r="C494" s="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7"/>
      <c r="B495" s="1"/>
      <c r="C495" s="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7"/>
      <c r="B496" s="1"/>
      <c r="C496" s="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7"/>
      <c r="B497" s="1"/>
      <c r="C497" s="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7"/>
      <c r="B498" s="1"/>
      <c r="C498" s="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7"/>
      <c r="B499" s="1"/>
      <c r="C499" s="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7"/>
      <c r="B500" s="1"/>
      <c r="C500" s="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7"/>
      <c r="B501" s="1"/>
      <c r="C501" s="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7"/>
      <c r="B502" s="1"/>
      <c r="C502" s="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7"/>
      <c r="B503" s="1"/>
      <c r="C503" s="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7"/>
      <c r="B504" s="1"/>
      <c r="C504" s="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7"/>
      <c r="B505" s="1"/>
      <c r="C505" s="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7"/>
      <c r="B506" s="1"/>
      <c r="C506" s="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7"/>
      <c r="B507" s="1"/>
      <c r="C507" s="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7"/>
      <c r="B508" s="1"/>
      <c r="C508" s="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7"/>
      <c r="B509" s="1"/>
      <c r="C509" s="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7"/>
      <c r="B510" s="1"/>
      <c r="C510" s="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7"/>
      <c r="B511" s="1"/>
      <c r="C511" s="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7"/>
      <c r="B512" s="1"/>
      <c r="C512" s="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7"/>
      <c r="B513" s="1"/>
      <c r="C513" s="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7"/>
      <c r="B514" s="1"/>
      <c r="C514" s="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7"/>
      <c r="B515" s="1"/>
      <c r="C515" s="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7"/>
      <c r="B516" s="1"/>
      <c r="C516" s="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7"/>
      <c r="B517" s="1"/>
      <c r="C517" s="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7"/>
      <c r="B518" s="1"/>
      <c r="C518" s="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7"/>
      <c r="B519" s="1"/>
      <c r="C519" s="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7"/>
      <c r="B520" s="1"/>
      <c r="C520" s="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7"/>
      <c r="B521" s="1"/>
      <c r="C521" s="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7"/>
      <c r="B522" s="1"/>
      <c r="C522" s="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7"/>
      <c r="B523" s="1"/>
      <c r="C523" s="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7"/>
      <c r="B524" s="1"/>
      <c r="C524" s="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7"/>
      <c r="B525" s="1"/>
      <c r="C525" s="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7"/>
      <c r="B526" s="1"/>
      <c r="C526" s="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7"/>
      <c r="B527" s="1"/>
      <c r="C527" s="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7"/>
      <c r="B528" s="1"/>
      <c r="C528" s="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7"/>
      <c r="B529" s="1"/>
      <c r="C529" s="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7"/>
      <c r="B530" s="1"/>
      <c r="C530" s="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7"/>
      <c r="B531" s="1"/>
      <c r="C531" s="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7"/>
      <c r="B532" s="1"/>
      <c r="C532" s="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7"/>
      <c r="B533" s="1"/>
      <c r="C533" s="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7"/>
      <c r="B534" s="1"/>
      <c r="C534" s="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7"/>
      <c r="B535" s="1"/>
      <c r="C535" s="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7"/>
      <c r="B536" s="1"/>
      <c r="C536" s="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7"/>
      <c r="B537" s="1"/>
      <c r="C537" s="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7"/>
      <c r="B538" s="1"/>
      <c r="C538" s="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7"/>
      <c r="B539" s="1"/>
      <c r="C539" s="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7"/>
      <c r="B540" s="1"/>
      <c r="C540" s="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7"/>
      <c r="B541" s="1"/>
      <c r="C541" s="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7"/>
      <c r="B542" s="1"/>
      <c r="C542" s="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7"/>
      <c r="B543" s="1"/>
      <c r="C543" s="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7"/>
      <c r="B544" s="1"/>
      <c r="C544" s="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7"/>
      <c r="B545" s="1"/>
      <c r="C545" s="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7"/>
      <c r="B546" s="1"/>
      <c r="C546" s="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7"/>
      <c r="B547" s="1"/>
      <c r="C547" s="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7"/>
      <c r="B548" s="1"/>
      <c r="C548" s="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7"/>
      <c r="B549" s="1"/>
      <c r="C549" s="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7"/>
      <c r="B550" s="1"/>
      <c r="C550" s="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7"/>
      <c r="B551" s="1"/>
      <c r="C551" s="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7"/>
      <c r="B552" s="1"/>
      <c r="C552" s="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7"/>
      <c r="B553" s="1"/>
      <c r="C553" s="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7"/>
      <c r="B554" s="1"/>
      <c r="C554" s="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7"/>
      <c r="B555" s="1"/>
      <c r="C555" s="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7"/>
      <c r="B556" s="1"/>
      <c r="C556" s="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7"/>
      <c r="B557" s="1"/>
      <c r="C557" s="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7"/>
      <c r="B558" s="1"/>
      <c r="C558" s="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7"/>
      <c r="B559" s="1"/>
      <c r="C559" s="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7"/>
      <c r="B560" s="1"/>
      <c r="C560" s="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7"/>
      <c r="B561" s="1"/>
      <c r="C561" s="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7"/>
      <c r="B562" s="1"/>
      <c r="C562" s="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7"/>
      <c r="B563" s="1"/>
      <c r="C563" s="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7"/>
      <c r="B564" s="1"/>
      <c r="C564" s="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7"/>
      <c r="B565" s="1"/>
      <c r="C565" s="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7"/>
      <c r="B566" s="1"/>
      <c r="C566" s="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7"/>
      <c r="B567" s="1"/>
      <c r="C567" s="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7"/>
      <c r="B568" s="1"/>
      <c r="C568" s="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7"/>
      <c r="B569" s="1"/>
      <c r="C569" s="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7"/>
      <c r="B570" s="1"/>
      <c r="C570" s="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7"/>
      <c r="B571" s="1"/>
      <c r="C571" s="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7"/>
      <c r="B572" s="1"/>
      <c r="C572" s="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7"/>
      <c r="B573" s="1"/>
      <c r="C573" s="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7"/>
      <c r="B574" s="1"/>
      <c r="C574" s="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7"/>
      <c r="B575" s="1"/>
      <c r="C575" s="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7"/>
      <c r="B576" s="1"/>
      <c r="C576" s="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7"/>
      <c r="B577" s="1"/>
      <c r="C577" s="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7"/>
      <c r="B578" s="1"/>
      <c r="C578" s="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7"/>
      <c r="B579" s="1"/>
      <c r="C579" s="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7"/>
      <c r="B580" s="1"/>
      <c r="C580" s="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7"/>
      <c r="B581" s="1"/>
      <c r="C581" s="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7"/>
      <c r="B582" s="1"/>
      <c r="C582" s="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7"/>
      <c r="B583" s="1"/>
      <c r="C583" s="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7"/>
      <c r="B584" s="1"/>
      <c r="C584" s="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7"/>
      <c r="B585" s="1"/>
      <c r="C585" s="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7"/>
      <c r="B586" s="1"/>
      <c r="C586" s="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7"/>
      <c r="B587" s="1"/>
      <c r="C587" s="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7"/>
      <c r="B588" s="1"/>
      <c r="C588" s="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7"/>
      <c r="B589" s="1"/>
      <c r="C589" s="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7"/>
      <c r="B590" s="1"/>
      <c r="C590" s="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7"/>
      <c r="B591" s="1"/>
      <c r="C591" s="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7"/>
      <c r="B592" s="1"/>
      <c r="C592" s="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7"/>
      <c r="B593" s="1"/>
      <c r="C593" s="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7"/>
      <c r="B594" s="1"/>
      <c r="C594" s="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7"/>
      <c r="B595" s="1"/>
      <c r="C595" s="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7"/>
      <c r="B596" s="1"/>
      <c r="C596" s="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7"/>
      <c r="B597" s="1"/>
      <c r="C597" s="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7"/>
      <c r="B598" s="1"/>
      <c r="C598" s="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7"/>
      <c r="B599" s="1"/>
      <c r="C599" s="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7"/>
      <c r="B600" s="1"/>
      <c r="C600" s="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7"/>
      <c r="B601" s="1"/>
      <c r="C601" s="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7"/>
      <c r="B602" s="1"/>
      <c r="C602" s="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7"/>
      <c r="B603" s="1"/>
      <c r="C603" s="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7"/>
      <c r="B604" s="1"/>
      <c r="C604" s="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7"/>
      <c r="B605" s="1"/>
      <c r="C605" s="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7"/>
      <c r="B606" s="1"/>
      <c r="C606" s="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7"/>
      <c r="B607" s="1"/>
      <c r="C607" s="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7"/>
      <c r="B608" s="1"/>
      <c r="C608" s="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7"/>
      <c r="B609" s="1"/>
      <c r="C609" s="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7"/>
      <c r="B610" s="1"/>
      <c r="C610" s="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7"/>
      <c r="B611" s="1"/>
      <c r="C611" s="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7"/>
      <c r="B612" s="1"/>
      <c r="C612" s="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7"/>
      <c r="B613" s="1"/>
      <c r="C613" s="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7"/>
      <c r="B614" s="1"/>
      <c r="C614" s="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7"/>
      <c r="B615" s="1"/>
      <c r="C615" s="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7"/>
      <c r="B616" s="1"/>
      <c r="C616" s="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7"/>
      <c r="B617" s="1"/>
      <c r="C617" s="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7"/>
      <c r="B618" s="1"/>
      <c r="C618" s="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7"/>
      <c r="B619" s="1"/>
      <c r="C619" s="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7"/>
      <c r="B620" s="1"/>
      <c r="C620" s="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7"/>
      <c r="B621" s="1"/>
      <c r="C621" s="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7"/>
      <c r="B622" s="1"/>
      <c r="C622" s="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7"/>
      <c r="B623" s="1"/>
      <c r="C623" s="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7"/>
      <c r="B624" s="1"/>
      <c r="C624" s="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7"/>
      <c r="B625" s="1"/>
      <c r="C625" s="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7"/>
      <c r="B626" s="1"/>
      <c r="C626" s="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7"/>
      <c r="B627" s="1"/>
      <c r="C627" s="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7"/>
      <c r="B628" s="1"/>
      <c r="C628" s="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7"/>
      <c r="B629" s="1"/>
      <c r="C629" s="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7"/>
      <c r="B630" s="1"/>
      <c r="C630" s="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7"/>
      <c r="B631" s="1"/>
      <c r="C631" s="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7"/>
      <c r="B632" s="1"/>
      <c r="C632" s="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7"/>
      <c r="B633" s="1"/>
      <c r="C633" s="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7"/>
      <c r="B634" s="1"/>
      <c r="C634" s="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7"/>
      <c r="B635" s="1"/>
      <c r="C635" s="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7"/>
      <c r="B636" s="1"/>
      <c r="C636" s="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7"/>
      <c r="B637" s="1"/>
      <c r="C637" s="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7"/>
      <c r="B638" s="1"/>
      <c r="C638" s="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7"/>
      <c r="B639" s="1"/>
      <c r="C639" s="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7"/>
      <c r="B640" s="1"/>
      <c r="C640" s="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7"/>
      <c r="B641" s="1"/>
      <c r="C641" s="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7"/>
      <c r="B642" s="1"/>
      <c r="C642" s="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7"/>
      <c r="B643" s="1"/>
      <c r="C643" s="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7"/>
      <c r="B644" s="1"/>
      <c r="C644" s="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7"/>
      <c r="B645" s="1"/>
      <c r="C645" s="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7"/>
      <c r="B646" s="1"/>
      <c r="C646" s="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7"/>
      <c r="B647" s="1"/>
      <c r="C647" s="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7"/>
      <c r="B648" s="1"/>
      <c r="C648" s="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7"/>
      <c r="B649" s="1"/>
      <c r="C649" s="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7"/>
      <c r="B650" s="1"/>
      <c r="C650" s="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7"/>
      <c r="B651" s="1"/>
      <c r="C651" s="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7"/>
      <c r="B652" s="1"/>
      <c r="C652" s="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7"/>
      <c r="B653" s="1"/>
      <c r="C653" s="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7"/>
      <c r="B654" s="1"/>
      <c r="C654" s="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7"/>
      <c r="B655" s="1"/>
      <c r="C655" s="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7"/>
      <c r="B656" s="1"/>
      <c r="C656" s="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7"/>
      <c r="B657" s="1"/>
      <c r="C657" s="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7"/>
      <c r="B658" s="1"/>
      <c r="C658" s="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7"/>
      <c r="B659" s="1"/>
      <c r="C659" s="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7"/>
      <c r="B660" s="1"/>
      <c r="C660" s="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7"/>
      <c r="B661" s="1"/>
      <c r="C661" s="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7"/>
      <c r="B662" s="1"/>
      <c r="C662" s="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7"/>
      <c r="B663" s="1"/>
      <c r="C663" s="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7"/>
      <c r="B664" s="1"/>
      <c r="C664" s="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7"/>
      <c r="B665" s="1"/>
      <c r="C665" s="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7"/>
      <c r="B666" s="1"/>
      <c r="C666" s="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7"/>
      <c r="B667" s="1"/>
      <c r="C667" s="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7"/>
      <c r="B668" s="1"/>
      <c r="C668" s="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7"/>
      <c r="B669" s="1"/>
      <c r="C669" s="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7"/>
      <c r="B670" s="1"/>
      <c r="C670" s="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7"/>
      <c r="B671" s="1"/>
      <c r="C671" s="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7"/>
      <c r="B672" s="1"/>
      <c r="C672" s="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7"/>
      <c r="B673" s="1"/>
      <c r="C673" s="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7"/>
      <c r="B674" s="1"/>
      <c r="C674" s="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7"/>
      <c r="B675" s="1"/>
      <c r="C675" s="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7"/>
      <c r="B676" s="1"/>
      <c r="C676" s="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7"/>
      <c r="B677" s="1"/>
      <c r="C677" s="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7"/>
      <c r="B678" s="1"/>
      <c r="C678" s="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7"/>
      <c r="B679" s="1"/>
      <c r="C679" s="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7"/>
      <c r="B680" s="1"/>
      <c r="C680" s="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7"/>
      <c r="B681" s="1"/>
      <c r="C681" s="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7"/>
      <c r="B682" s="1"/>
      <c r="C682" s="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7"/>
      <c r="B683" s="1"/>
      <c r="C683" s="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7"/>
      <c r="B684" s="1"/>
      <c r="C684" s="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7"/>
      <c r="B685" s="1"/>
      <c r="C685" s="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7"/>
      <c r="B686" s="1"/>
      <c r="C686" s="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7"/>
      <c r="B687" s="1"/>
      <c r="C687" s="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7"/>
      <c r="B688" s="1"/>
      <c r="C688" s="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7"/>
      <c r="B689" s="1"/>
      <c r="C689" s="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7"/>
      <c r="B690" s="1"/>
      <c r="C690" s="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7"/>
      <c r="B691" s="1"/>
      <c r="C691" s="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7"/>
      <c r="B692" s="1"/>
      <c r="C692" s="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7"/>
      <c r="B693" s="1"/>
      <c r="C693" s="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7"/>
      <c r="B694" s="1"/>
      <c r="C694" s="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7"/>
      <c r="B695" s="1"/>
      <c r="C695" s="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7"/>
      <c r="B696" s="1"/>
      <c r="C696" s="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7"/>
      <c r="B697" s="1"/>
      <c r="C697" s="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7"/>
      <c r="B698" s="1"/>
      <c r="C698" s="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7"/>
      <c r="B699" s="1"/>
      <c r="C699" s="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7"/>
      <c r="B700" s="1"/>
      <c r="C700" s="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7"/>
      <c r="B701" s="1"/>
      <c r="C701" s="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7"/>
      <c r="B702" s="1"/>
      <c r="C702" s="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7"/>
      <c r="B703" s="1"/>
      <c r="C703" s="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7"/>
      <c r="B704" s="1"/>
      <c r="C704" s="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7"/>
      <c r="B705" s="1"/>
      <c r="C705" s="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7"/>
      <c r="B706" s="1"/>
      <c r="C706" s="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7"/>
      <c r="B707" s="1"/>
      <c r="C707" s="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7"/>
      <c r="B708" s="1"/>
      <c r="C708" s="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7"/>
      <c r="B709" s="1"/>
      <c r="C709" s="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7"/>
      <c r="B710" s="1"/>
      <c r="C710" s="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7"/>
      <c r="B711" s="1"/>
      <c r="C711" s="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7"/>
      <c r="B712" s="1"/>
      <c r="C712" s="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7"/>
      <c r="B713" s="1"/>
      <c r="C713" s="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7"/>
      <c r="B714" s="1"/>
      <c r="C714" s="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7"/>
      <c r="B715" s="1"/>
      <c r="C715" s="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7"/>
      <c r="B716" s="1"/>
      <c r="C716" s="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7"/>
      <c r="B717" s="1"/>
      <c r="C717" s="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7"/>
      <c r="B718" s="1"/>
      <c r="C718" s="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7"/>
      <c r="B719" s="1"/>
      <c r="C719" s="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7"/>
      <c r="B720" s="1"/>
      <c r="C720" s="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7"/>
      <c r="B721" s="1"/>
      <c r="C721" s="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7"/>
      <c r="B722" s="1"/>
      <c r="C722" s="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7"/>
      <c r="B723" s="1"/>
      <c r="C723" s="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7"/>
      <c r="B724" s="1"/>
      <c r="C724" s="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7"/>
      <c r="B725" s="1"/>
      <c r="C725" s="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7"/>
      <c r="B726" s="1"/>
      <c r="C726" s="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7"/>
      <c r="B727" s="1"/>
      <c r="C727" s="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7"/>
      <c r="B728" s="1"/>
      <c r="C728" s="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7"/>
      <c r="B729" s="1"/>
      <c r="C729" s="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7"/>
      <c r="B730" s="1"/>
      <c r="C730" s="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7"/>
      <c r="B731" s="1"/>
      <c r="C731" s="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7"/>
      <c r="B732" s="1"/>
      <c r="C732" s="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7"/>
      <c r="B733" s="1"/>
      <c r="C733" s="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7"/>
      <c r="B734" s="1"/>
      <c r="C734" s="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7"/>
      <c r="B735" s="1"/>
      <c r="C735" s="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7"/>
      <c r="B736" s="1"/>
      <c r="C736" s="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7"/>
      <c r="B737" s="1"/>
      <c r="C737" s="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7"/>
      <c r="B738" s="1"/>
      <c r="C738" s="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7"/>
      <c r="B739" s="1"/>
      <c r="C739" s="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7"/>
      <c r="B740" s="1"/>
      <c r="C740" s="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7"/>
      <c r="B741" s="1"/>
      <c r="C741" s="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7"/>
      <c r="B742" s="1"/>
      <c r="C742" s="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7"/>
      <c r="B743" s="1"/>
      <c r="C743" s="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7"/>
      <c r="B744" s="1"/>
      <c r="C744" s="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7"/>
      <c r="B745" s="1"/>
      <c r="C745" s="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7"/>
      <c r="B746" s="1"/>
      <c r="C746" s="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7"/>
      <c r="B747" s="1"/>
      <c r="C747" s="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7"/>
      <c r="B748" s="1"/>
      <c r="C748" s="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7"/>
      <c r="B749" s="1"/>
      <c r="C749" s="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7"/>
      <c r="B750" s="1"/>
      <c r="C750" s="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7"/>
      <c r="B751" s="1"/>
      <c r="C751" s="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7"/>
      <c r="B752" s="1"/>
      <c r="C752" s="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7"/>
      <c r="B753" s="1"/>
      <c r="C753" s="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7"/>
      <c r="B754" s="1"/>
      <c r="C754" s="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7"/>
      <c r="B755" s="1"/>
      <c r="C755" s="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7"/>
      <c r="B756" s="1"/>
      <c r="C756" s="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7"/>
      <c r="B757" s="1"/>
      <c r="C757" s="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7"/>
      <c r="B758" s="1"/>
      <c r="C758" s="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7"/>
      <c r="B759" s="1"/>
      <c r="C759" s="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7"/>
      <c r="B760" s="1"/>
      <c r="C760" s="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7"/>
      <c r="B761" s="1"/>
      <c r="C761" s="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7"/>
      <c r="B762" s="1"/>
      <c r="C762" s="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7"/>
      <c r="B763" s="1"/>
      <c r="C763" s="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7"/>
      <c r="B764" s="1"/>
      <c r="C764" s="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7"/>
      <c r="B765" s="1"/>
      <c r="C765" s="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7"/>
      <c r="B766" s="1"/>
      <c r="C766" s="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7"/>
      <c r="B767" s="1"/>
      <c r="C767" s="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7"/>
      <c r="B768" s="1"/>
      <c r="C768" s="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7"/>
      <c r="B769" s="1"/>
      <c r="C769" s="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7"/>
      <c r="B770" s="1"/>
      <c r="C770" s="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7"/>
      <c r="B771" s="1"/>
      <c r="C771" s="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7"/>
      <c r="B772" s="1"/>
      <c r="C772" s="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7"/>
      <c r="B773" s="1"/>
      <c r="C773" s="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7"/>
      <c r="B774" s="1"/>
      <c r="C774" s="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7"/>
      <c r="B775" s="1"/>
      <c r="C775" s="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7"/>
      <c r="B776" s="1"/>
      <c r="C776" s="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7"/>
      <c r="B777" s="1"/>
      <c r="C777" s="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7"/>
      <c r="B778" s="1"/>
      <c r="C778" s="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7"/>
      <c r="B779" s="1"/>
      <c r="C779" s="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7"/>
      <c r="B780" s="1"/>
      <c r="C780" s="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7"/>
      <c r="B781" s="1"/>
      <c r="C781" s="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7"/>
      <c r="B782" s="1"/>
      <c r="C782" s="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7"/>
      <c r="B783" s="1"/>
      <c r="C783" s="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7"/>
      <c r="B784" s="1"/>
      <c r="C784" s="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7"/>
      <c r="B785" s="1"/>
      <c r="C785" s="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7"/>
      <c r="B786" s="1"/>
      <c r="C786" s="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7"/>
      <c r="B787" s="1"/>
      <c r="C787" s="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7"/>
      <c r="B788" s="1"/>
      <c r="C788" s="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7"/>
      <c r="B789" s="1"/>
      <c r="C789" s="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7"/>
      <c r="B790" s="1"/>
      <c r="C790" s="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7"/>
      <c r="B791" s="1"/>
      <c r="C791" s="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7"/>
      <c r="B792" s="1"/>
      <c r="C792" s="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7"/>
      <c r="B793" s="1"/>
      <c r="C793" s="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7"/>
      <c r="B794" s="1"/>
      <c r="C794" s="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7"/>
      <c r="B795" s="1"/>
      <c r="C795" s="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7"/>
      <c r="B796" s="1"/>
      <c r="C796" s="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7"/>
      <c r="B797" s="1"/>
      <c r="C797" s="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7"/>
      <c r="B798" s="1"/>
      <c r="C798" s="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7"/>
      <c r="B799" s="1"/>
      <c r="C799" s="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7"/>
      <c r="B800" s="1"/>
      <c r="C800" s="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7"/>
      <c r="B801" s="1"/>
      <c r="C801" s="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7"/>
      <c r="B802" s="1"/>
      <c r="C802" s="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7"/>
      <c r="B803" s="1"/>
      <c r="C803" s="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7"/>
      <c r="B804" s="1"/>
      <c r="C804" s="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7"/>
      <c r="B805" s="1"/>
      <c r="C805" s="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7"/>
      <c r="B806" s="1"/>
      <c r="C806" s="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7"/>
      <c r="B807" s="1"/>
      <c r="C807" s="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7"/>
      <c r="B808" s="1"/>
      <c r="C808" s="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7"/>
      <c r="B809" s="1"/>
      <c r="C809" s="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7"/>
      <c r="B810" s="1"/>
      <c r="C810" s="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7"/>
      <c r="B811" s="1"/>
      <c r="C811" s="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7"/>
      <c r="B812" s="1"/>
      <c r="C812" s="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7"/>
      <c r="B813" s="1"/>
      <c r="C813" s="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7"/>
      <c r="B814" s="1"/>
      <c r="C814" s="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7"/>
      <c r="B815" s="1"/>
      <c r="C815" s="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7"/>
      <c r="B816" s="1"/>
      <c r="C816" s="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7"/>
      <c r="B817" s="1"/>
      <c r="C817" s="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7"/>
      <c r="B818" s="1"/>
      <c r="C818" s="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7"/>
      <c r="B819" s="1"/>
      <c r="C819" s="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7"/>
      <c r="B820" s="1"/>
      <c r="C820" s="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7"/>
      <c r="B821" s="1"/>
      <c r="C821" s="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7"/>
      <c r="B822" s="1"/>
      <c r="C822" s="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7"/>
      <c r="B823" s="1"/>
      <c r="C823" s="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7"/>
      <c r="B824" s="1"/>
      <c r="C824" s="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7"/>
      <c r="B825" s="1"/>
      <c r="C825" s="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7"/>
      <c r="B826" s="1"/>
      <c r="C826" s="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7"/>
      <c r="B827" s="1"/>
      <c r="C827" s="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7"/>
      <c r="B828" s="1"/>
      <c r="C828" s="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7"/>
      <c r="B829" s="1"/>
      <c r="C829" s="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7"/>
      <c r="B830" s="1"/>
      <c r="C830" s="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7"/>
      <c r="B831" s="1"/>
      <c r="C831" s="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7"/>
      <c r="B832" s="1"/>
      <c r="C832" s="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7"/>
      <c r="B833" s="1"/>
      <c r="C833" s="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7"/>
      <c r="B834" s="1"/>
      <c r="C834" s="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7"/>
      <c r="B835" s="1"/>
      <c r="C835" s="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7"/>
      <c r="B836" s="1"/>
      <c r="C836" s="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7"/>
      <c r="B837" s="1"/>
      <c r="C837" s="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7"/>
      <c r="B838" s="1"/>
      <c r="C838" s="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7"/>
      <c r="B839" s="1"/>
      <c r="C839" s="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7"/>
      <c r="B840" s="1"/>
      <c r="C840" s="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7"/>
      <c r="B841" s="1"/>
      <c r="C841" s="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7"/>
      <c r="B842" s="1"/>
      <c r="C842" s="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7"/>
      <c r="B843" s="1"/>
      <c r="C843" s="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7"/>
      <c r="B844" s="1"/>
      <c r="C844" s="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7"/>
      <c r="B845" s="1"/>
      <c r="C845" s="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7"/>
      <c r="B846" s="1"/>
      <c r="C846" s="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7"/>
      <c r="B847" s="1"/>
      <c r="C847" s="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7"/>
      <c r="B848" s="1"/>
      <c r="C848" s="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7"/>
      <c r="B849" s="1"/>
      <c r="C849" s="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7"/>
      <c r="B850" s="1"/>
      <c r="C850" s="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7"/>
      <c r="B851" s="1"/>
      <c r="C851" s="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7"/>
      <c r="B852" s="1"/>
      <c r="C852" s="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7"/>
      <c r="B853" s="1"/>
      <c r="C853" s="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7"/>
      <c r="B854" s="1"/>
      <c r="C854" s="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7"/>
      <c r="B855" s="1"/>
      <c r="C855" s="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7"/>
      <c r="B856" s="1"/>
      <c r="C856" s="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7"/>
      <c r="B857" s="1"/>
      <c r="C857" s="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7"/>
      <c r="B858" s="1"/>
      <c r="C858" s="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7"/>
      <c r="B859" s="1"/>
      <c r="C859" s="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7"/>
      <c r="B860" s="1"/>
      <c r="C860" s="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7"/>
      <c r="B861" s="1"/>
      <c r="C861" s="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7"/>
      <c r="B862" s="1"/>
      <c r="C862" s="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7"/>
      <c r="B863" s="1"/>
      <c r="C863" s="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7"/>
      <c r="B864" s="1"/>
      <c r="C864" s="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7"/>
      <c r="B865" s="1"/>
      <c r="C865" s="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7"/>
      <c r="B866" s="1"/>
      <c r="C866" s="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7"/>
      <c r="B867" s="1"/>
      <c r="C867" s="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7"/>
      <c r="B868" s="1"/>
      <c r="C868" s="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7"/>
      <c r="B869" s="1"/>
      <c r="C869" s="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7"/>
      <c r="B870" s="1"/>
      <c r="C870" s="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7"/>
      <c r="B871" s="1"/>
      <c r="C871" s="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7"/>
      <c r="B872" s="1"/>
      <c r="C872" s="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7"/>
      <c r="B873" s="1"/>
      <c r="C873" s="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7"/>
      <c r="B874" s="1"/>
      <c r="C874" s="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7"/>
      <c r="B875" s="1"/>
      <c r="C875" s="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7"/>
      <c r="B876" s="1"/>
      <c r="C876" s="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7"/>
      <c r="B877" s="1"/>
      <c r="C877" s="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7"/>
      <c r="B878" s="1"/>
      <c r="C878" s="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7"/>
      <c r="B879" s="1"/>
      <c r="C879" s="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7"/>
      <c r="B880" s="1"/>
      <c r="C880" s="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7"/>
      <c r="B881" s="1"/>
      <c r="C881" s="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7"/>
      <c r="B882" s="1"/>
      <c r="C882" s="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7"/>
      <c r="B883" s="1"/>
      <c r="C883" s="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7"/>
      <c r="B884" s="1"/>
      <c r="C884" s="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7"/>
      <c r="B885" s="1"/>
      <c r="C885" s="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7"/>
      <c r="B886" s="1"/>
      <c r="C886" s="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7"/>
      <c r="B887" s="1"/>
      <c r="C887" s="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7"/>
      <c r="B888" s="1"/>
      <c r="C888" s="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7"/>
      <c r="B889" s="1"/>
      <c r="C889" s="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7"/>
      <c r="B890" s="1"/>
      <c r="C890" s="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7"/>
      <c r="B891" s="1"/>
      <c r="C891" s="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7"/>
      <c r="B892" s="1"/>
      <c r="C892" s="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7"/>
      <c r="B893" s="1"/>
      <c r="C893" s="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7"/>
      <c r="B894" s="1"/>
      <c r="C894" s="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7"/>
      <c r="B895" s="1"/>
      <c r="C895" s="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7"/>
      <c r="B896" s="1"/>
      <c r="C896" s="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7"/>
      <c r="B897" s="1"/>
      <c r="C897" s="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7"/>
      <c r="B898" s="1"/>
      <c r="C898" s="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7"/>
      <c r="B899" s="1"/>
      <c r="C899" s="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7"/>
      <c r="B900" s="1"/>
      <c r="C900" s="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7"/>
      <c r="B901" s="1"/>
      <c r="C901" s="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7"/>
      <c r="B902" s="1"/>
      <c r="C902" s="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7"/>
      <c r="B903" s="1"/>
      <c r="C903" s="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7"/>
      <c r="B904" s="1"/>
      <c r="C904" s="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7"/>
      <c r="B905" s="1"/>
      <c r="C905" s="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7"/>
      <c r="B906" s="1"/>
      <c r="C906" s="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7"/>
      <c r="B907" s="1"/>
      <c r="C907" s="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7"/>
      <c r="B908" s="1"/>
      <c r="C908" s="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7"/>
      <c r="B909" s="1"/>
      <c r="C909" s="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7"/>
      <c r="B910" s="1"/>
      <c r="C910" s="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7"/>
      <c r="B911" s="1"/>
      <c r="C911" s="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7"/>
      <c r="B912" s="1"/>
      <c r="C912" s="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7"/>
      <c r="B913" s="1"/>
      <c r="C913" s="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7"/>
      <c r="B914" s="1"/>
      <c r="C914" s="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7"/>
      <c r="B915" s="1"/>
      <c r="C915" s="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7"/>
      <c r="B916" s="1"/>
      <c r="C916" s="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7"/>
      <c r="B917" s="1"/>
      <c r="C917" s="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7"/>
      <c r="B918" s="1"/>
      <c r="C918" s="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7"/>
      <c r="B919" s="1"/>
      <c r="C919" s="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7"/>
      <c r="B920" s="1"/>
      <c r="C920" s="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7"/>
      <c r="B921" s="1"/>
      <c r="C921" s="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7"/>
      <c r="B922" s="1"/>
      <c r="C922" s="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7"/>
      <c r="B923" s="1"/>
      <c r="C923" s="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7"/>
      <c r="B924" s="1"/>
      <c r="C924" s="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7"/>
      <c r="B925" s="1"/>
      <c r="C925" s="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7"/>
      <c r="B926" s="1"/>
      <c r="C926" s="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7"/>
      <c r="B927" s="1"/>
      <c r="C927" s="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7"/>
      <c r="B928" s="1"/>
      <c r="C928" s="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7"/>
      <c r="B929" s="1"/>
      <c r="C929" s="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7"/>
      <c r="B930" s="1"/>
      <c r="C930" s="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7"/>
      <c r="B931" s="1"/>
      <c r="C931" s="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7"/>
      <c r="B932" s="1"/>
      <c r="C932" s="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7"/>
      <c r="B933" s="1"/>
      <c r="C933" s="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7"/>
      <c r="B934" s="1"/>
      <c r="C934" s="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7"/>
      <c r="B935" s="1"/>
      <c r="C935" s="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7"/>
      <c r="B936" s="1"/>
      <c r="C936" s="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7"/>
      <c r="B937" s="1"/>
      <c r="C937" s="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7"/>
      <c r="B938" s="1"/>
      <c r="C938" s="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7"/>
      <c r="B939" s="1"/>
      <c r="C939" s="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7"/>
      <c r="B940" s="1"/>
      <c r="C940" s="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7"/>
      <c r="B941" s="1"/>
      <c r="C941" s="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7"/>
      <c r="B942" s="1"/>
      <c r="C942" s="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7"/>
      <c r="B943" s="1"/>
      <c r="C943" s="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7"/>
      <c r="B944" s="1"/>
      <c r="C944" s="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7"/>
      <c r="B945" s="1"/>
      <c r="C945" s="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7"/>
      <c r="B946" s="1"/>
      <c r="C946" s="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7"/>
      <c r="B947" s="1"/>
      <c r="C947" s="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7"/>
      <c r="B948" s="1"/>
      <c r="C948" s="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7"/>
      <c r="B949" s="1"/>
      <c r="C949" s="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7"/>
      <c r="B950" s="1"/>
      <c r="C950" s="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7"/>
      <c r="B951" s="1"/>
      <c r="C951" s="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7"/>
      <c r="B952" s="1"/>
      <c r="C952" s="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7"/>
      <c r="B953" s="1"/>
      <c r="C953" s="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7"/>
      <c r="B954" s="1"/>
      <c r="C954" s="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7"/>
      <c r="B955" s="1"/>
      <c r="C955" s="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7"/>
      <c r="B956" s="1"/>
      <c r="C956" s="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7"/>
      <c r="B957" s="1"/>
      <c r="C957" s="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7"/>
      <c r="B958" s="1"/>
      <c r="C958" s="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7"/>
      <c r="B959" s="1"/>
      <c r="C959" s="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7"/>
      <c r="B960" s="1"/>
      <c r="C960" s="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7"/>
      <c r="B961" s="1"/>
      <c r="C961" s="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7"/>
      <c r="B962" s="1"/>
      <c r="C962" s="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7"/>
      <c r="B963" s="1"/>
      <c r="C963" s="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7"/>
      <c r="B964" s="1"/>
      <c r="C964" s="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7"/>
      <c r="B965" s="1"/>
      <c r="C965" s="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7"/>
      <c r="B966" s="1"/>
      <c r="C966" s="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7"/>
      <c r="B967" s="1"/>
      <c r="C967" s="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7"/>
      <c r="B968" s="1"/>
      <c r="C968" s="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7"/>
      <c r="B969" s="1"/>
      <c r="C969" s="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7"/>
      <c r="B970" s="1"/>
      <c r="C970" s="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7"/>
      <c r="B971" s="1"/>
      <c r="C971" s="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7"/>
      <c r="B972" s="1"/>
      <c r="C972" s="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7"/>
      <c r="B973" s="1"/>
      <c r="C973" s="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7"/>
      <c r="B974" s="1"/>
      <c r="C974" s="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7"/>
      <c r="B975" s="1"/>
      <c r="C975" s="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7"/>
      <c r="B976" s="1"/>
      <c r="C976" s="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7"/>
      <c r="B977" s="1"/>
      <c r="C977" s="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7"/>
      <c r="B978" s="1"/>
      <c r="C978" s="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7"/>
      <c r="B979" s="1"/>
      <c r="C979" s="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7"/>
      <c r="B980" s="1"/>
      <c r="C980" s="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7"/>
      <c r="B981" s="1"/>
      <c r="C981" s="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7"/>
      <c r="B982" s="1"/>
      <c r="C982" s="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7"/>
      <c r="B983" s="1"/>
      <c r="C983" s="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7"/>
      <c r="B984" s="1"/>
      <c r="C984" s="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7"/>
      <c r="B985" s="1"/>
      <c r="C985" s="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7"/>
      <c r="B986" s="1"/>
      <c r="C986" s="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7"/>
      <c r="B987" s="1"/>
      <c r="C987" s="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7"/>
      <c r="B988" s="1"/>
      <c r="C988" s="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7"/>
      <c r="B989" s="1"/>
      <c r="C989" s="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7"/>
      <c r="B990" s="1"/>
      <c r="C990" s="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7"/>
      <c r="B991" s="1"/>
      <c r="C991" s="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7"/>
      <c r="B992" s="1"/>
      <c r="C992" s="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7"/>
      <c r="B993" s="1"/>
      <c r="C993" s="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7"/>
      <c r="B994" s="1"/>
      <c r="C994" s="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7"/>
      <c r="B995" s="1"/>
      <c r="C995" s="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7"/>
      <c r="B996" s="1"/>
      <c r="C996" s="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7"/>
      <c r="B997" s="1"/>
      <c r="C997" s="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7"/>
      <c r="B998" s="1"/>
      <c r="C998" s="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7"/>
      <c r="B999" s="1"/>
      <c r="C999" s="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7"/>
      <c r="B1000" s="1"/>
      <c r="C1000" s="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0" customHeight="1">
      <c r="A1001" s="7"/>
      <c r="B1001" s="1"/>
      <c r="C1001" s="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0" customHeight="1">
      <c r="A1002" s="7"/>
      <c r="B1002" s="1"/>
      <c r="C1002" s="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0" customHeight="1">
      <c r="A1003" s="7"/>
      <c r="B1003" s="1"/>
      <c r="C1003" s="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0" customHeight="1">
      <c r="A1004" s="7"/>
      <c r="B1004" s="1"/>
      <c r="C1004" s="8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0" customHeight="1">
      <c r="A1005" s="7"/>
      <c r="B1005" s="1"/>
      <c r="C1005" s="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0" customHeight="1">
      <c r="A1006" s="7"/>
      <c r="B1006" s="1"/>
      <c r="C1006" s="8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0" customHeight="1">
      <c r="A1007" s="7"/>
      <c r="B1007" s="1"/>
      <c r="C1007" s="8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0" customHeight="1">
      <c r="A1008" s="7"/>
      <c r="B1008" s="1"/>
      <c r="C1008" s="8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0" customHeight="1">
      <c r="A1009" s="7"/>
      <c r="B1009" s="1"/>
      <c r="C1009" s="8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0" customHeight="1">
      <c r="A1010" s="7"/>
      <c r="B1010" s="1"/>
      <c r="C1010" s="8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2.0" customHeight="1">
      <c r="A1011" s="7"/>
      <c r="B1011" s="1"/>
      <c r="C1011" s="8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2.0" customHeight="1">
      <c r="A1012" s="7"/>
      <c r="B1012" s="1"/>
      <c r="C1012" s="8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0" customHeight="1">
      <c r="A1013" s="7"/>
      <c r="B1013" s="1"/>
      <c r="C1013" s="8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2.0" customHeight="1">
      <c r="A1014" s="7"/>
      <c r="B1014" s="1"/>
      <c r="C1014" s="8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2.0" customHeight="1">
      <c r="A1015" s="7"/>
      <c r="B1015" s="1"/>
      <c r="C1015" s="8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2.0" customHeight="1">
      <c r="A1016" s="7"/>
      <c r="B1016" s="1"/>
      <c r="C1016" s="8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2.0" customHeight="1">
      <c r="A1017" s="7"/>
      <c r="B1017" s="1"/>
      <c r="C1017" s="8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63"/>
    <col customWidth="1" min="3" max="3" width="13.25"/>
  </cols>
  <sheetData>
    <row r="1" ht="12.0" customHeight="1">
      <c r="A1" s="7"/>
      <c r="B1" s="1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7"/>
      <c r="B2" s="12" t="s">
        <v>63</v>
      </c>
      <c r="C2" s="10"/>
      <c r="D2" s="13"/>
      <c r="E2" s="1"/>
      <c r="F2" s="12"/>
      <c r="G2" s="1"/>
      <c r="H2" s="1"/>
      <c r="I2" s="1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7"/>
      <c r="B3" s="13" t="s">
        <v>28</v>
      </c>
      <c r="C3" s="15"/>
      <c r="D3" s="13"/>
      <c r="E3" s="1"/>
      <c r="F3" s="12"/>
      <c r="G3" s="1"/>
      <c r="H3" s="1"/>
      <c r="I3" s="1"/>
      <c r="J3" s="1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7"/>
      <c r="B4" s="13" t="s">
        <v>64</v>
      </c>
      <c r="C4" s="10"/>
      <c r="D4" s="13"/>
      <c r="E4" s="1"/>
      <c r="F4" s="12"/>
      <c r="G4" s="1"/>
      <c r="H4" s="1"/>
      <c r="I4" s="1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7"/>
      <c r="B5" s="13" t="s">
        <v>65</v>
      </c>
      <c r="C5" s="35">
        <f>-IRR!C27</f>
        <v>-0.1</v>
      </c>
      <c r="D5" s="13"/>
      <c r="E5" s="1"/>
      <c r="F5" s="12"/>
      <c r="G5" s="1"/>
      <c r="H5" s="1"/>
      <c r="I5" s="1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13"/>
      <c r="C6" s="10"/>
      <c r="D6" s="13"/>
      <c r="E6" s="1"/>
      <c r="F6" s="12"/>
      <c r="G6" s="1"/>
      <c r="H6" s="1"/>
      <c r="I6" s="1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7"/>
      <c r="B7" s="13"/>
      <c r="C7" s="10"/>
      <c r="D7" s="13"/>
      <c r="E7" s="1"/>
      <c r="F7" s="12"/>
      <c r="G7" s="1"/>
      <c r="H7" s="1"/>
      <c r="I7" s="1"/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7"/>
      <c r="B8" s="13"/>
      <c r="C8" s="10"/>
      <c r="D8" s="13"/>
      <c r="E8" s="1"/>
      <c r="F8" s="12"/>
      <c r="G8" s="1"/>
      <c r="H8" s="1"/>
      <c r="I8" s="1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7"/>
      <c r="B9" s="9" t="s">
        <v>13</v>
      </c>
      <c r="C9" s="10">
        <v>1.0E7</v>
      </c>
      <c r="D9" s="11" t="s">
        <v>14</v>
      </c>
      <c r="E9" s="1"/>
      <c r="F9" s="12" t="s">
        <v>15</v>
      </c>
      <c r="G9" s="1"/>
      <c r="H9" s="1"/>
      <c r="I9" s="1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7"/>
      <c r="B10" s="9" t="s">
        <v>16</v>
      </c>
      <c r="C10" s="10">
        <v>200000.0</v>
      </c>
      <c r="D10" s="11" t="s">
        <v>14</v>
      </c>
      <c r="E10" s="1"/>
      <c r="F10" s="13" t="s">
        <v>17</v>
      </c>
      <c r="G10" s="10">
        <v>1000000.0</v>
      </c>
      <c r="H10" s="14" t="s">
        <v>18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7"/>
      <c r="B11" s="9" t="s">
        <v>19</v>
      </c>
      <c r="C11" s="10">
        <v>1000000.0</v>
      </c>
      <c r="D11" s="11" t="s">
        <v>14</v>
      </c>
      <c r="E11" s="1"/>
      <c r="F11" s="13" t="s">
        <v>20</v>
      </c>
      <c r="G11" s="10">
        <v>2000000.0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7"/>
      <c r="B12" s="9" t="s">
        <v>21</v>
      </c>
      <c r="C12" s="10">
        <v>5.0</v>
      </c>
      <c r="D12" s="11" t="s">
        <v>22</v>
      </c>
      <c r="E12" s="1"/>
      <c r="F12" s="13" t="s">
        <v>23</v>
      </c>
      <c r="G12" s="10">
        <f>3000000*(1+C5)</f>
        <v>2700000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7"/>
      <c r="B13" s="9" t="s">
        <v>24</v>
      </c>
      <c r="C13" s="10">
        <v>4000000.0</v>
      </c>
      <c r="D13" s="11" t="s">
        <v>14</v>
      </c>
      <c r="E13" s="1"/>
      <c r="F13" s="13" t="s">
        <v>25</v>
      </c>
      <c r="G13" s="10">
        <v>4000000.0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7"/>
      <c r="B14" s="9" t="s">
        <v>26</v>
      </c>
      <c r="C14" s="15">
        <v>0.22</v>
      </c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7"/>
      <c r="B15" s="9" t="s">
        <v>27</v>
      </c>
      <c r="C15" s="15">
        <v>0.2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7"/>
      <c r="B16" s="1"/>
      <c r="C16" s="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7"/>
      <c r="B17" s="1"/>
      <c r="C17" s="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7"/>
      <c r="B18" s="19"/>
      <c r="C18" s="20">
        <v>0.0</v>
      </c>
      <c r="D18" s="21">
        <v>1.0</v>
      </c>
      <c r="E18" s="21">
        <v>2.0</v>
      </c>
      <c r="F18" s="21">
        <v>3.0</v>
      </c>
      <c r="G18" s="21">
        <v>4.0</v>
      </c>
      <c r="H18" s="21">
        <v>5.0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7"/>
      <c r="B19" s="9" t="s">
        <v>28</v>
      </c>
      <c r="C19" s="22"/>
      <c r="D19" s="22">
        <f t="shared" ref="D19:H19" si="1">(1+$C$3)*$C$13</f>
        <v>4000000</v>
      </c>
      <c r="E19" s="22">
        <f t="shared" si="1"/>
        <v>4000000</v>
      </c>
      <c r="F19" s="22">
        <f t="shared" si="1"/>
        <v>4000000</v>
      </c>
      <c r="G19" s="22">
        <f t="shared" si="1"/>
        <v>4000000</v>
      </c>
      <c r="H19" s="22">
        <f t="shared" si="1"/>
        <v>4000000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7"/>
      <c r="B20" s="23" t="s">
        <v>29</v>
      </c>
      <c r="C20" s="24"/>
      <c r="D20" s="24">
        <f t="shared" ref="D20:H20" si="2">-$C$9/$C$12</f>
        <v>-2000000</v>
      </c>
      <c r="E20" s="24">
        <f t="shared" si="2"/>
        <v>-2000000</v>
      </c>
      <c r="F20" s="24">
        <f t="shared" si="2"/>
        <v>-2000000</v>
      </c>
      <c r="G20" s="24">
        <f t="shared" si="2"/>
        <v>-2000000</v>
      </c>
      <c r="H20" s="24">
        <f t="shared" si="2"/>
        <v>-2000000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7"/>
      <c r="B21" s="9" t="s">
        <v>30</v>
      </c>
      <c r="C21" s="22"/>
      <c r="D21" s="22">
        <f t="shared" ref="D21:H21" si="3">sum(D19:D20)</f>
        <v>2000000</v>
      </c>
      <c r="E21" s="22">
        <f t="shared" si="3"/>
        <v>2000000</v>
      </c>
      <c r="F21" s="22">
        <f t="shared" si="3"/>
        <v>2000000</v>
      </c>
      <c r="G21" s="22">
        <f t="shared" si="3"/>
        <v>2000000</v>
      </c>
      <c r="H21" s="22">
        <f t="shared" si="3"/>
        <v>2000000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7"/>
      <c r="B22" s="23" t="s">
        <v>31</v>
      </c>
      <c r="C22" s="24"/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7"/>
      <c r="B23" s="9" t="s">
        <v>32</v>
      </c>
      <c r="C23" s="22"/>
      <c r="D23" s="22">
        <f t="shared" ref="D23:H23" si="4">sum(D21:D22)</f>
        <v>2000000</v>
      </c>
      <c r="E23" s="22">
        <f t="shared" si="4"/>
        <v>2000000</v>
      </c>
      <c r="F23" s="22">
        <f t="shared" si="4"/>
        <v>2000000</v>
      </c>
      <c r="G23" s="22">
        <f t="shared" si="4"/>
        <v>2000000</v>
      </c>
      <c r="H23" s="22">
        <f t="shared" si="4"/>
        <v>2000000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7"/>
      <c r="B24" s="23" t="s">
        <v>33</v>
      </c>
      <c r="C24" s="24"/>
      <c r="D24" s="24">
        <f t="shared" ref="D24:H24" si="5">-$C$14*D23</f>
        <v>-440000</v>
      </c>
      <c r="E24" s="24">
        <f t="shared" si="5"/>
        <v>-440000</v>
      </c>
      <c r="F24" s="24">
        <f t="shared" si="5"/>
        <v>-440000</v>
      </c>
      <c r="G24" s="24">
        <f t="shared" si="5"/>
        <v>-440000</v>
      </c>
      <c r="H24" s="24">
        <f t="shared" si="5"/>
        <v>-440000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7"/>
      <c r="B25" s="9" t="s">
        <v>34</v>
      </c>
      <c r="C25" s="22"/>
      <c r="D25" s="22">
        <f t="shared" ref="D25:H25" si="6">sum(D23:D24)</f>
        <v>1560000</v>
      </c>
      <c r="E25" s="22">
        <f t="shared" si="6"/>
        <v>1560000</v>
      </c>
      <c r="F25" s="22">
        <f t="shared" si="6"/>
        <v>1560000</v>
      </c>
      <c r="G25" s="22">
        <f t="shared" si="6"/>
        <v>1560000</v>
      </c>
      <c r="H25" s="22">
        <f t="shared" si="6"/>
        <v>1560000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7"/>
      <c r="B26" s="23" t="s">
        <v>35</v>
      </c>
      <c r="C26" s="24"/>
      <c r="D26" s="24">
        <f t="shared" ref="D26:H26" si="7">-D20</f>
        <v>2000000</v>
      </c>
      <c r="E26" s="24">
        <f t="shared" si="7"/>
        <v>2000000</v>
      </c>
      <c r="F26" s="24">
        <f t="shared" si="7"/>
        <v>2000000</v>
      </c>
      <c r="G26" s="24">
        <f t="shared" si="7"/>
        <v>2000000</v>
      </c>
      <c r="H26" s="24">
        <f t="shared" si="7"/>
        <v>2000000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7"/>
      <c r="B27" s="9" t="s">
        <v>36</v>
      </c>
      <c r="C27" s="22"/>
      <c r="D27" s="22">
        <f t="shared" ref="D27:H27" si="8">sum(D25:D26)</f>
        <v>3560000</v>
      </c>
      <c r="E27" s="22">
        <f t="shared" si="8"/>
        <v>3560000</v>
      </c>
      <c r="F27" s="22">
        <f t="shared" si="8"/>
        <v>3560000</v>
      </c>
      <c r="G27" s="22">
        <f t="shared" si="8"/>
        <v>3560000</v>
      </c>
      <c r="H27" s="22">
        <f t="shared" si="8"/>
        <v>3560000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7"/>
      <c r="B28" s="23" t="s">
        <v>37</v>
      </c>
      <c r="C28" s="24"/>
      <c r="D28" s="24"/>
      <c r="E28" s="24"/>
      <c r="F28" s="24"/>
      <c r="G28" s="24"/>
      <c r="H28" s="24">
        <f>C54</f>
        <v>6040000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7"/>
      <c r="B29" s="9" t="s">
        <v>38</v>
      </c>
      <c r="C29" s="22">
        <f>C41</f>
        <v>-13156000</v>
      </c>
      <c r="D29" s="22">
        <f t="shared" ref="D29:H29" si="9">sum(D27:D28)</f>
        <v>3560000</v>
      </c>
      <c r="E29" s="22">
        <f t="shared" si="9"/>
        <v>3560000</v>
      </c>
      <c r="F29" s="22">
        <f t="shared" si="9"/>
        <v>3560000</v>
      </c>
      <c r="G29" s="22">
        <f t="shared" si="9"/>
        <v>3560000</v>
      </c>
      <c r="H29" s="22">
        <f t="shared" si="9"/>
        <v>9600000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7"/>
      <c r="B30" s="9" t="s">
        <v>39</v>
      </c>
      <c r="C30" s="25">
        <f>irr(C29:H29)</f>
        <v>0.1975648865</v>
      </c>
      <c r="D30" s="22"/>
      <c r="E30" s="22"/>
      <c r="F30" s="22"/>
      <c r="G30" s="22"/>
      <c r="H30" s="2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7"/>
      <c r="B31" s="9" t="str">
        <f>"NPV at "&amp;text(C15,"##,00%")</f>
        <v>NPV at 20%</v>
      </c>
      <c r="C31" s="22">
        <f t="array" ref="C31">npv(C15,C29:H29)</f>
        <v>-68400.20576</v>
      </c>
      <c r="D31" s="8"/>
      <c r="E31" s="8"/>
      <c r="F31" s="8"/>
      <c r="G31" s="8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7"/>
      <c r="B32" s="1"/>
      <c r="C32" s="8"/>
      <c r="D32" s="8"/>
      <c r="E32" s="8"/>
      <c r="F32" s="8"/>
      <c r="G32" s="8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7"/>
      <c r="B33" s="1"/>
      <c r="C33" s="8"/>
      <c r="D33" s="8"/>
      <c r="E33" s="8"/>
      <c r="F33" s="8"/>
      <c r="G33" s="8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7"/>
      <c r="B34" s="27" t="s">
        <v>46</v>
      </c>
      <c r="C34" s="2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29" t="s">
        <v>47</v>
      </c>
      <c r="B35" s="11" t="s">
        <v>48</v>
      </c>
      <c r="C35" s="30">
        <v>0.0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29" t="s">
        <v>47</v>
      </c>
      <c r="B36" s="11" t="s">
        <v>13</v>
      </c>
      <c r="C36" s="28">
        <f t="shared" ref="C36:C37" si="10">-C9</f>
        <v>-10000000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29" t="s">
        <v>47</v>
      </c>
      <c r="B37" s="11" t="s">
        <v>16</v>
      </c>
      <c r="C37" s="28">
        <f t="shared" si="10"/>
        <v>-200000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29" t="s">
        <v>47</v>
      </c>
      <c r="B38" s="11" t="s">
        <v>49</v>
      </c>
      <c r="C38" s="28">
        <f>-C14*C37</f>
        <v>44000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29" t="s">
        <v>47</v>
      </c>
      <c r="B39" s="11" t="s">
        <v>19</v>
      </c>
      <c r="C39" s="28">
        <f>-C11</f>
        <v>-1000000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29" t="s">
        <v>47</v>
      </c>
      <c r="B40" s="31" t="s">
        <v>50</v>
      </c>
      <c r="C40" s="32">
        <f>-G11</f>
        <v>-2000000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7"/>
      <c r="B41" s="11" t="s">
        <v>51</v>
      </c>
      <c r="C41" s="28">
        <f>sum(C35:C40)</f>
        <v>-13156000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7"/>
      <c r="B42" s="1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7"/>
      <c r="B43" s="1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7"/>
      <c r="B44" s="27" t="s">
        <v>52</v>
      </c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7"/>
      <c r="B45" s="11" t="s">
        <v>53</v>
      </c>
      <c r="C45" s="28">
        <f>C9</f>
        <v>10000000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7"/>
      <c r="B46" s="11" t="s">
        <v>54</v>
      </c>
      <c r="C46" s="28">
        <f>-C9/C12*5</f>
        <v>-10000000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7"/>
      <c r="B47" s="31" t="s">
        <v>55</v>
      </c>
      <c r="C47" s="32">
        <f>sum(C45:C46)</f>
        <v>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7"/>
      <c r="B48" s="31" t="s">
        <v>56</v>
      </c>
      <c r="C48" s="34">
        <v>3000000.0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7"/>
      <c r="B49" s="11" t="s">
        <v>57</v>
      </c>
      <c r="C49" s="28">
        <f>C48-C47</f>
        <v>3000000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7"/>
      <c r="B50" s="31" t="s">
        <v>58</v>
      </c>
      <c r="C50" s="32">
        <f>-C14*C49</f>
        <v>-660000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7"/>
      <c r="B51" s="11" t="s">
        <v>59</v>
      </c>
      <c r="C51" s="28">
        <f>sum(C49:C50)</f>
        <v>2340000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7"/>
      <c r="B52" s="11" t="s">
        <v>60</v>
      </c>
      <c r="C52" s="30">
        <f>C11</f>
        <v>1000000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7"/>
      <c r="B53" s="31" t="s">
        <v>61</v>
      </c>
      <c r="C53" s="32">
        <f>G12</f>
        <v>2700000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7"/>
      <c r="B54" s="11" t="s">
        <v>62</v>
      </c>
      <c r="C54" s="28">
        <f>sum(C51:C53)</f>
        <v>6040000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7"/>
      <c r="B55" s="1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7"/>
      <c r="B56" s="1"/>
      <c r="C56" s="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7"/>
      <c r="B57" s="1"/>
      <c r="C57" s="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7"/>
      <c r="B58" s="1"/>
      <c r="C58" s="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7"/>
      <c r="B59" s="1"/>
      <c r="C59" s="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7"/>
      <c r="B60" s="1"/>
      <c r="C60" s="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7"/>
      <c r="B61" s="1"/>
      <c r="C61" s="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7"/>
      <c r="B62" s="1"/>
      <c r="C62" s="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7"/>
      <c r="B63" s="1"/>
      <c r="C63" s="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7"/>
      <c r="B64" s="1"/>
      <c r="C64" s="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7"/>
      <c r="B65" s="1"/>
      <c r="C65" s="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7"/>
      <c r="B66" s="1"/>
      <c r="C66" s="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7"/>
      <c r="B67" s="1"/>
      <c r="C67" s="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7"/>
      <c r="B68" s="1"/>
      <c r="C68" s="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7"/>
      <c r="B69" s="1"/>
      <c r="C69" s="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7"/>
      <c r="B70" s="1"/>
      <c r="C70" s="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7"/>
      <c r="B71" s="1"/>
      <c r="C71" s="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7"/>
      <c r="B72" s="1"/>
      <c r="C72" s="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7"/>
      <c r="B73" s="1"/>
      <c r="C73" s="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7"/>
      <c r="B74" s="1"/>
      <c r="C74" s="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7"/>
      <c r="B75" s="1"/>
      <c r="C75" s="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7"/>
      <c r="B76" s="1"/>
      <c r="C76" s="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7"/>
      <c r="B77" s="1"/>
      <c r="C77" s="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7"/>
      <c r="B78" s="1"/>
      <c r="C78" s="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7"/>
      <c r="B79" s="1"/>
      <c r="C79" s="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7"/>
      <c r="B80" s="1"/>
      <c r="C80" s="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7"/>
      <c r="B81" s="1"/>
      <c r="C81" s="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7"/>
      <c r="B82" s="1"/>
      <c r="C82" s="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7"/>
      <c r="B83" s="1"/>
      <c r="C83" s="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7"/>
      <c r="B84" s="1"/>
      <c r="C84" s="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7"/>
      <c r="B85" s="1"/>
      <c r="C85" s="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7"/>
      <c r="B86" s="1"/>
      <c r="C86" s="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7"/>
      <c r="B87" s="1"/>
      <c r="C87" s="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7"/>
      <c r="B88" s="1"/>
      <c r="C88" s="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7"/>
      <c r="B89" s="1"/>
      <c r="C89" s="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7"/>
      <c r="B90" s="1"/>
      <c r="C90" s="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7"/>
      <c r="B91" s="1"/>
      <c r="C91" s="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7"/>
      <c r="B92" s="1"/>
      <c r="C92" s="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7"/>
      <c r="B93" s="1"/>
      <c r="C93" s="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7"/>
      <c r="B94" s="1"/>
      <c r="C94" s="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7"/>
      <c r="B95" s="1"/>
      <c r="C95" s="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7"/>
      <c r="B96" s="1"/>
      <c r="C96" s="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7"/>
      <c r="B97" s="1"/>
      <c r="C97" s="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7"/>
      <c r="B98" s="1"/>
      <c r="C98" s="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7"/>
      <c r="B99" s="1"/>
      <c r="C99" s="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7"/>
      <c r="B100" s="1"/>
      <c r="C100" s="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7"/>
      <c r="B101" s="1"/>
      <c r="C101" s="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7"/>
      <c r="B102" s="1"/>
      <c r="C102" s="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7"/>
      <c r="B103" s="1"/>
      <c r="C103" s="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7"/>
      <c r="B104" s="1"/>
      <c r="C104" s="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7"/>
      <c r="B105" s="1"/>
      <c r="C105" s="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7"/>
      <c r="B106" s="1"/>
      <c r="C106" s="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7"/>
      <c r="B107" s="1"/>
      <c r="C107" s="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7"/>
      <c r="B108" s="1"/>
      <c r="C108" s="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7"/>
      <c r="B109" s="1"/>
      <c r="C109" s="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7"/>
      <c r="B110" s="1"/>
      <c r="C110" s="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7"/>
      <c r="B111" s="1"/>
      <c r="C111" s="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7"/>
      <c r="B112" s="1"/>
      <c r="C112" s="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7"/>
      <c r="B113" s="1"/>
      <c r="C113" s="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7"/>
      <c r="B114" s="1"/>
      <c r="C114" s="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7"/>
      <c r="B115" s="1"/>
      <c r="C115" s="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7"/>
      <c r="B116" s="1"/>
      <c r="C116" s="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7"/>
      <c r="B117" s="1"/>
      <c r="C117" s="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7"/>
      <c r="B118" s="1"/>
      <c r="C118" s="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7"/>
      <c r="B119" s="1"/>
      <c r="C119" s="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7"/>
      <c r="B120" s="1"/>
      <c r="C120" s="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7"/>
      <c r="B121" s="1"/>
      <c r="C121" s="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7"/>
      <c r="B122" s="1"/>
      <c r="C122" s="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7"/>
      <c r="B123" s="1"/>
      <c r="C123" s="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7"/>
      <c r="B124" s="1"/>
      <c r="C124" s="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7"/>
      <c r="B125" s="1"/>
      <c r="C125" s="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7"/>
      <c r="B126" s="1"/>
      <c r="C126" s="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7"/>
      <c r="B127" s="1"/>
      <c r="C127" s="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7"/>
      <c r="B128" s="1"/>
      <c r="C128" s="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7"/>
      <c r="B129" s="1"/>
      <c r="C129" s="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7"/>
      <c r="B130" s="1"/>
      <c r="C130" s="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7"/>
      <c r="B131" s="1"/>
      <c r="C131" s="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7"/>
      <c r="B132" s="1"/>
      <c r="C132" s="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7"/>
      <c r="B133" s="1"/>
      <c r="C133" s="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7"/>
      <c r="B134" s="1"/>
      <c r="C134" s="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7"/>
      <c r="B135" s="1"/>
      <c r="C135" s="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7"/>
      <c r="B136" s="1"/>
      <c r="C136" s="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7"/>
      <c r="B137" s="1"/>
      <c r="C137" s="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7"/>
      <c r="B138" s="1"/>
      <c r="C138" s="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7"/>
      <c r="B139" s="1"/>
      <c r="C139" s="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7"/>
      <c r="B140" s="1"/>
      <c r="C140" s="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7"/>
      <c r="B141" s="1"/>
      <c r="C141" s="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7"/>
      <c r="B142" s="1"/>
      <c r="C142" s="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7"/>
      <c r="B143" s="1"/>
      <c r="C143" s="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7"/>
      <c r="B144" s="1"/>
      <c r="C144" s="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7"/>
      <c r="B145" s="1"/>
      <c r="C145" s="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7"/>
      <c r="B146" s="1"/>
      <c r="C146" s="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7"/>
      <c r="B147" s="1"/>
      <c r="C147" s="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7"/>
      <c r="B148" s="1"/>
      <c r="C148" s="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7"/>
      <c r="B149" s="1"/>
      <c r="C149" s="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7"/>
      <c r="B150" s="1"/>
      <c r="C150" s="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7"/>
      <c r="B151" s="1"/>
      <c r="C151" s="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7"/>
      <c r="B152" s="1"/>
      <c r="C152" s="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7"/>
      <c r="B153" s="1"/>
      <c r="C153" s="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7"/>
      <c r="B154" s="1"/>
      <c r="C154" s="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7"/>
      <c r="B155" s="1"/>
      <c r="C155" s="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7"/>
      <c r="B156" s="1"/>
      <c r="C156" s="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7"/>
      <c r="B157" s="1"/>
      <c r="C157" s="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7"/>
      <c r="B158" s="1"/>
      <c r="C158" s="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7"/>
      <c r="B159" s="1"/>
      <c r="C159" s="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7"/>
      <c r="B160" s="1"/>
      <c r="C160" s="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7"/>
      <c r="B161" s="1"/>
      <c r="C161" s="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7"/>
      <c r="B162" s="1"/>
      <c r="C162" s="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7"/>
      <c r="B163" s="1"/>
      <c r="C163" s="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7"/>
      <c r="B164" s="1"/>
      <c r="C164" s="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7"/>
      <c r="B165" s="1"/>
      <c r="C165" s="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7"/>
      <c r="B166" s="1"/>
      <c r="C166" s="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7"/>
      <c r="B167" s="1"/>
      <c r="C167" s="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7"/>
      <c r="B168" s="1"/>
      <c r="C168" s="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7"/>
      <c r="B169" s="1"/>
      <c r="C169" s="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7"/>
      <c r="B170" s="1"/>
      <c r="C170" s="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7"/>
      <c r="B171" s="1"/>
      <c r="C171" s="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7"/>
      <c r="B172" s="1"/>
      <c r="C172" s="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7"/>
      <c r="B173" s="1"/>
      <c r="C173" s="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7"/>
      <c r="B174" s="1"/>
      <c r="C174" s="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7"/>
      <c r="B175" s="1"/>
      <c r="C175" s="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7"/>
      <c r="B176" s="1"/>
      <c r="C176" s="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7"/>
      <c r="B177" s="1"/>
      <c r="C177" s="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7"/>
      <c r="B178" s="1"/>
      <c r="C178" s="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7"/>
      <c r="B179" s="1"/>
      <c r="C179" s="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7"/>
      <c r="B180" s="1"/>
      <c r="C180" s="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7"/>
      <c r="B181" s="1"/>
      <c r="C181" s="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7"/>
      <c r="B182" s="1"/>
      <c r="C182" s="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7"/>
      <c r="B183" s="1"/>
      <c r="C183" s="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7"/>
      <c r="B184" s="1"/>
      <c r="C184" s="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7"/>
      <c r="B185" s="1"/>
      <c r="C185" s="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7"/>
      <c r="B186" s="1"/>
      <c r="C186" s="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7"/>
      <c r="B187" s="1"/>
      <c r="C187" s="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7"/>
      <c r="B188" s="1"/>
      <c r="C188" s="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7"/>
      <c r="B189" s="1"/>
      <c r="C189" s="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7"/>
      <c r="B190" s="1"/>
      <c r="C190" s="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7"/>
      <c r="B191" s="1"/>
      <c r="C191" s="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7"/>
      <c r="B192" s="1"/>
      <c r="C192" s="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7"/>
      <c r="B193" s="1"/>
      <c r="C193" s="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7"/>
      <c r="B194" s="1"/>
      <c r="C194" s="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7"/>
      <c r="B195" s="1"/>
      <c r="C195" s="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7"/>
      <c r="B196" s="1"/>
      <c r="C196" s="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7"/>
      <c r="B197" s="1"/>
      <c r="C197" s="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7"/>
      <c r="B198" s="1"/>
      <c r="C198" s="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7"/>
      <c r="B199" s="1"/>
      <c r="C199" s="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7"/>
      <c r="B200" s="1"/>
      <c r="C200" s="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7"/>
      <c r="B201" s="1"/>
      <c r="C201" s="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7"/>
      <c r="B202" s="1"/>
      <c r="C202" s="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7"/>
      <c r="B203" s="1"/>
      <c r="C203" s="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7"/>
      <c r="B204" s="1"/>
      <c r="C204" s="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7"/>
      <c r="B205" s="1"/>
      <c r="C205" s="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7"/>
      <c r="B206" s="1"/>
      <c r="C206" s="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7"/>
      <c r="B207" s="1"/>
      <c r="C207" s="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7"/>
      <c r="B208" s="1"/>
      <c r="C208" s="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7"/>
      <c r="B209" s="1"/>
      <c r="C209" s="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7"/>
      <c r="B210" s="1"/>
      <c r="C210" s="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7"/>
      <c r="B211" s="1"/>
      <c r="C211" s="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7"/>
      <c r="B212" s="1"/>
      <c r="C212" s="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7"/>
      <c r="B213" s="1"/>
      <c r="C213" s="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7"/>
      <c r="B214" s="1"/>
      <c r="C214" s="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7"/>
      <c r="B215" s="1"/>
      <c r="C215" s="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7"/>
      <c r="B216" s="1"/>
      <c r="C216" s="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7"/>
      <c r="B217" s="1"/>
      <c r="C217" s="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7"/>
      <c r="B218" s="1"/>
      <c r="C218" s="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7"/>
      <c r="B219" s="1"/>
      <c r="C219" s="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7"/>
      <c r="B220" s="1"/>
      <c r="C220" s="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7"/>
      <c r="B221" s="1"/>
      <c r="C221" s="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7"/>
      <c r="B222" s="1"/>
      <c r="C222" s="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7"/>
      <c r="B223" s="1"/>
      <c r="C223" s="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7"/>
      <c r="B224" s="1"/>
      <c r="C224" s="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7"/>
      <c r="B225" s="1"/>
      <c r="C225" s="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7"/>
      <c r="B226" s="1"/>
      <c r="C226" s="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7"/>
      <c r="B227" s="1"/>
      <c r="C227" s="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7"/>
      <c r="B228" s="1"/>
      <c r="C228" s="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7"/>
      <c r="B229" s="1"/>
      <c r="C229" s="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7"/>
      <c r="B230" s="1"/>
      <c r="C230" s="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7"/>
      <c r="B231" s="1"/>
      <c r="C231" s="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7"/>
      <c r="B232" s="1"/>
      <c r="C232" s="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7"/>
      <c r="B233" s="1"/>
      <c r="C233" s="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7"/>
      <c r="B234" s="1"/>
      <c r="C234" s="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7"/>
      <c r="B235" s="1"/>
      <c r="C235" s="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7"/>
      <c r="B236" s="1"/>
      <c r="C236" s="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7"/>
      <c r="B237" s="1"/>
      <c r="C237" s="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7"/>
      <c r="B238" s="1"/>
      <c r="C238" s="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7"/>
      <c r="B239" s="1"/>
      <c r="C239" s="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7"/>
      <c r="B240" s="1"/>
      <c r="C240" s="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7"/>
      <c r="B241" s="1"/>
      <c r="C241" s="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7"/>
      <c r="B242" s="1"/>
      <c r="C242" s="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7"/>
      <c r="B243" s="1"/>
      <c r="C243" s="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7"/>
      <c r="B244" s="1"/>
      <c r="C244" s="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7"/>
      <c r="B245" s="1"/>
      <c r="C245" s="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7"/>
      <c r="B246" s="1"/>
      <c r="C246" s="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7"/>
      <c r="B247" s="1"/>
      <c r="C247" s="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7"/>
      <c r="B248" s="1"/>
      <c r="C248" s="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7"/>
      <c r="B249" s="1"/>
      <c r="C249" s="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7"/>
      <c r="B250" s="1"/>
      <c r="C250" s="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7"/>
      <c r="B251" s="1"/>
      <c r="C251" s="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7"/>
      <c r="B252" s="1"/>
      <c r="C252" s="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7"/>
      <c r="B253" s="1"/>
      <c r="C253" s="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7"/>
      <c r="B254" s="1"/>
      <c r="C254" s="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7"/>
      <c r="B255" s="1"/>
      <c r="C255" s="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7"/>
      <c r="B256" s="1"/>
      <c r="C256" s="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7"/>
      <c r="B257" s="1"/>
      <c r="C257" s="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7"/>
      <c r="B258" s="1"/>
      <c r="C258" s="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7"/>
      <c r="B259" s="1"/>
      <c r="C259" s="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7"/>
      <c r="B260" s="1"/>
      <c r="C260" s="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7"/>
      <c r="B261" s="1"/>
      <c r="C261" s="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7"/>
      <c r="B262" s="1"/>
      <c r="C262" s="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7"/>
      <c r="B263" s="1"/>
      <c r="C263" s="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7"/>
      <c r="B264" s="1"/>
      <c r="C264" s="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7"/>
      <c r="B265" s="1"/>
      <c r="C265" s="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7"/>
      <c r="B266" s="1"/>
      <c r="C266" s="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7"/>
      <c r="B267" s="1"/>
      <c r="C267" s="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7"/>
      <c r="B268" s="1"/>
      <c r="C268" s="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7"/>
      <c r="B269" s="1"/>
      <c r="C269" s="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7"/>
      <c r="B270" s="1"/>
      <c r="C270" s="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7"/>
      <c r="B271" s="1"/>
      <c r="C271" s="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7"/>
      <c r="B272" s="1"/>
      <c r="C272" s="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7"/>
      <c r="B273" s="1"/>
      <c r="C273" s="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7"/>
      <c r="B274" s="1"/>
      <c r="C274" s="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7"/>
      <c r="B275" s="1"/>
      <c r="C275" s="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7"/>
      <c r="B276" s="1"/>
      <c r="C276" s="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7"/>
      <c r="B277" s="1"/>
      <c r="C277" s="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7"/>
      <c r="B278" s="1"/>
      <c r="C278" s="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7"/>
      <c r="B279" s="1"/>
      <c r="C279" s="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7"/>
      <c r="B280" s="1"/>
      <c r="C280" s="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7"/>
      <c r="B281" s="1"/>
      <c r="C281" s="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7"/>
      <c r="B282" s="1"/>
      <c r="C282" s="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7"/>
      <c r="B283" s="1"/>
      <c r="C283" s="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7"/>
      <c r="B284" s="1"/>
      <c r="C284" s="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7"/>
      <c r="B285" s="1"/>
      <c r="C285" s="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7"/>
      <c r="B286" s="1"/>
      <c r="C286" s="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7"/>
      <c r="B287" s="1"/>
      <c r="C287" s="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7"/>
      <c r="B288" s="1"/>
      <c r="C288" s="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7"/>
      <c r="B289" s="1"/>
      <c r="C289" s="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7"/>
      <c r="B290" s="1"/>
      <c r="C290" s="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7"/>
      <c r="B291" s="1"/>
      <c r="C291" s="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7"/>
      <c r="B292" s="1"/>
      <c r="C292" s="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7"/>
      <c r="B293" s="1"/>
      <c r="C293" s="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7"/>
      <c r="B294" s="1"/>
      <c r="C294" s="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7"/>
      <c r="B295" s="1"/>
      <c r="C295" s="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7"/>
      <c r="B296" s="1"/>
      <c r="C296" s="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7"/>
      <c r="B297" s="1"/>
      <c r="C297" s="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7"/>
      <c r="B298" s="1"/>
      <c r="C298" s="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7"/>
      <c r="B299" s="1"/>
      <c r="C299" s="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7"/>
      <c r="B300" s="1"/>
      <c r="C300" s="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7"/>
      <c r="B301" s="1"/>
      <c r="C301" s="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7"/>
      <c r="B302" s="1"/>
      <c r="C302" s="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7"/>
      <c r="B303" s="1"/>
      <c r="C303" s="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7"/>
      <c r="B304" s="1"/>
      <c r="C304" s="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7"/>
      <c r="B305" s="1"/>
      <c r="C305" s="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7"/>
      <c r="B306" s="1"/>
      <c r="C306" s="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7"/>
      <c r="B307" s="1"/>
      <c r="C307" s="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7"/>
      <c r="B308" s="1"/>
      <c r="C308" s="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7"/>
      <c r="B309" s="1"/>
      <c r="C309" s="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7"/>
      <c r="B310" s="1"/>
      <c r="C310" s="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7"/>
      <c r="B311" s="1"/>
      <c r="C311" s="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7"/>
      <c r="B312" s="1"/>
      <c r="C312" s="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7"/>
      <c r="B313" s="1"/>
      <c r="C313" s="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7"/>
      <c r="B314" s="1"/>
      <c r="C314" s="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7"/>
      <c r="B315" s="1"/>
      <c r="C315" s="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7"/>
      <c r="B316" s="1"/>
      <c r="C316" s="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7"/>
      <c r="B317" s="1"/>
      <c r="C317" s="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7"/>
      <c r="B318" s="1"/>
      <c r="C318" s="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7"/>
      <c r="B319" s="1"/>
      <c r="C319" s="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7"/>
      <c r="B320" s="1"/>
      <c r="C320" s="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7"/>
      <c r="B321" s="1"/>
      <c r="C321" s="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7"/>
      <c r="B322" s="1"/>
      <c r="C322" s="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7"/>
      <c r="B323" s="1"/>
      <c r="C323" s="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7"/>
      <c r="B324" s="1"/>
      <c r="C324" s="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7"/>
      <c r="B325" s="1"/>
      <c r="C325" s="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7"/>
      <c r="B326" s="1"/>
      <c r="C326" s="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7"/>
      <c r="B327" s="1"/>
      <c r="C327" s="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7"/>
      <c r="B328" s="1"/>
      <c r="C328" s="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7"/>
      <c r="B329" s="1"/>
      <c r="C329" s="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7"/>
      <c r="B330" s="1"/>
      <c r="C330" s="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7"/>
      <c r="B331" s="1"/>
      <c r="C331" s="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7"/>
      <c r="B332" s="1"/>
      <c r="C332" s="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7"/>
      <c r="B333" s="1"/>
      <c r="C333" s="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7"/>
      <c r="B334" s="1"/>
      <c r="C334" s="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7"/>
      <c r="B335" s="1"/>
      <c r="C335" s="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7"/>
      <c r="B336" s="1"/>
      <c r="C336" s="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7"/>
      <c r="B337" s="1"/>
      <c r="C337" s="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7"/>
      <c r="B338" s="1"/>
      <c r="C338" s="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7"/>
      <c r="B339" s="1"/>
      <c r="C339" s="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7"/>
      <c r="B340" s="1"/>
      <c r="C340" s="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7"/>
      <c r="B341" s="1"/>
      <c r="C341" s="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7"/>
      <c r="B342" s="1"/>
      <c r="C342" s="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7"/>
      <c r="B343" s="1"/>
      <c r="C343" s="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7"/>
      <c r="B344" s="1"/>
      <c r="C344" s="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7"/>
      <c r="B345" s="1"/>
      <c r="C345" s="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7"/>
      <c r="B346" s="1"/>
      <c r="C346" s="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7"/>
      <c r="B347" s="1"/>
      <c r="C347" s="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7"/>
      <c r="B348" s="1"/>
      <c r="C348" s="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7"/>
      <c r="B349" s="1"/>
      <c r="C349" s="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7"/>
      <c r="B350" s="1"/>
      <c r="C350" s="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7"/>
      <c r="B351" s="1"/>
      <c r="C351" s="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7"/>
      <c r="B352" s="1"/>
      <c r="C352" s="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7"/>
      <c r="B353" s="1"/>
      <c r="C353" s="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7"/>
      <c r="B354" s="1"/>
      <c r="C354" s="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7"/>
      <c r="B355" s="1"/>
      <c r="C355" s="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7"/>
      <c r="B356" s="1"/>
      <c r="C356" s="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7"/>
      <c r="B357" s="1"/>
      <c r="C357" s="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7"/>
      <c r="B358" s="1"/>
      <c r="C358" s="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7"/>
      <c r="B359" s="1"/>
      <c r="C359" s="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7"/>
      <c r="B360" s="1"/>
      <c r="C360" s="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7"/>
      <c r="B361" s="1"/>
      <c r="C361" s="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7"/>
      <c r="B362" s="1"/>
      <c r="C362" s="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7"/>
      <c r="B363" s="1"/>
      <c r="C363" s="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7"/>
      <c r="B364" s="1"/>
      <c r="C364" s="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7"/>
      <c r="B365" s="1"/>
      <c r="C365" s="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7"/>
      <c r="B366" s="1"/>
      <c r="C366" s="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7"/>
      <c r="B367" s="1"/>
      <c r="C367" s="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7"/>
      <c r="B368" s="1"/>
      <c r="C368" s="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7"/>
      <c r="B369" s="1"/>
      <c r="C369" s="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7"/>
      <c r="B370" s="1"/>
      <c r="C370" s="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7"/>
      <c r="B371" s="1"/>
      <c r="C371" s="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7"/>
      <c r="B372" s="1"/>
      <c r="C372" s="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7"/>
      <c r="B373" s="1"/>
      <c r="C373" s="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7"/>
      <c r="B374" s="1"/>
      <c r="C374" s="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7"/>
      <c r="B375" s="1"/>
      <c r="C375" s="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7"/>
      <c r="B376" s="1"/>
      <c r="C376" s="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7"/>
      <c r="B377" s="1"/>
      <c r="C377" s="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7"/>
      <c r="B378" s="1"/>
      <c r="C378" s="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7"/>
      <c r="B379" s="1"/>
      <c r="C379" s="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7"/>
      <c r="B380" s="1"/>
      <c r="C380" s="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7"/>
      <c r="B381" s="1"/>
      <c r="C381" s="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7"/>
      <c r="B382" s="1"/>
      <c r="C382" s="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7"/>
      <c r="B383" s="1"/>
      <c r="C383" s="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7"/>
      <c r="B384" s="1"/>
      <c r="C384" s="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7"/>
      <c r="B385" s="1"/>
      <c r="C385" s="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7"/>
      <c r="B386" s="1"/>
      <c r="C386" s="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7"/>
      <c r="B387" s="1"/>
      <c r="C387" s="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7"/>
      <c r="B388" s="1"/>
      <c r="C388" s="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7"/>
      <c r="B389" s="1"/>
      <c r="C389" s="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7"/>
      <c r="B390" s="1"/>
      <c r="C390" s="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7"/>
      <c r="B391" s="1"/>
      <c r="C391" s="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7"/>
      <c r="B392" s="1"/>
      <c r="C392" s="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7"/>
      <c r="B393" s="1"/>
      <c r="C393" s="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7"/>
      <c r="B394" s="1"/>
      <c r="C394" s="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7"/>
      <c r="B395" s="1"/>
      <c r="C395" s="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7"/>
      <c r="B396" s="1"/>
      <c r="C396" s="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7"/>
      <c r="B397" s="1"/>
      <c r="C397" s="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7"/>
      <c r="B398" s="1"/>
      <c r="C398" s="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7"/>
      <c r="B399" s="1"/>
      <c r="C399" s="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7"/>
      <c r="B400" s="1"/>
      <c r="C400" s="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7"/>
      <c r="B401" s="1"/>
      <c r="C401" s="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7"/>
      <c r="B402" s="1"/>
      <c r="C402" s="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7"/>
      <c r="B403" s="1"/>
      <c r="C403" s="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7"/>
      <c r="B404" s="1"/>
      <c r="C404" s="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7"/>
      <c r="B405" s="1"/>
      <c r="C405" s="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7"/>
      <c r="B406" s="1"/>
      <c r="C406" s="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7"/>
      <c r="B407" s="1"/>
      <c r="C407" s="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7"/>
      <c r="B408" s="1"/>
      <c r="C408" s="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7"/>
      <c r="B409" s="1"/>
      <c r="C409" s="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7"/>
      <c r="B410" s="1"/>
      <c r="C410" s="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7"/>
      <c r="B411" s="1"/>
      <c r="C411" s="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7"/>
      <c r="B412" s="1"/>
      <c r="C412" s="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7"/>
      <c r="B413" s="1"/>
      <c r="C413" s="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7"/>
      <c r="B414" s="1"/>
      <c r="C414" s="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7"/>
      <c r="B415" s="1"/>
      <c r="C415" s="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7"/>
      <c r="B416" s="1"/>
      <c r="C416" s="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7"/>
      <c r="B417" s="1"/>
      <c r="C417" s="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7"/>
      <c r="B418" s="1"/>
      <c r="C418" s="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7"/>
      <c r="B419" s="1"/>
      <c r="C419" s="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7"/>
      <c r="B420" s="1"/>
      <c r="C420" s="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7"/>
      <c r="B421" s="1"/>
      <c r="C421" s="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7"/>
      <c r="B422" s="1"/>
      <c r="C422" s="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7"/>
      <c r="B423" s="1"/>
      <c r="C423" s="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7"/>
      <c r="B424" s="1"/>
      <c r="C424" s="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7"/>
      <c r="B425" s="1"/>
      <c r="C425" s="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7"/>
      <c r="B426" s="1"/>
      <c r="C426" s="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7"/>
      <c r="B427" s="1"/>
      <c r="C427" s="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7"/>
      <c r="B428" s="1"/>
      <c r="C428" s="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7"/>
      <c r="B429" s="1"/>
      <c r="C429" s="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7"/>
      <c r="B430" s="1"/>
      <c r="C430" s="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7"/>
      <c r="B431" s="1"/>
      <c r="C431" s="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7"/>
      <c r="B432" s="1"/>
      <c r="C432" s="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7"/>
      <c r="B433" s="1"/>
      <c r="C433" s="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7"/>
      <c r="B434" s="1"/>
      <c r="C434" s="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7"/>
      <c r="B435" s="1"/>
      <c r="C435" s="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7"/>
      <c r="B436" s="1"/>
      <c r="C436" s="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7"/>
      <c r="B437" s="1"/>
      <c r="C437" s="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7"/>
      <c r="B438" s="1"/>
      <c r="C438" s="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7"/>
      <c r="B439" s="1"/>
      <c r="C439" s="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7"/>
      <c r="B440" s="1"/>
      <c r="C440" s="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7"/>
      <c r="B441" s="1"/>
      <c r="C441" s="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7"/>
      <c r="B442" s="1"/>
      <c r="C442" s="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7"/>
      <c r="B443" s="1"/>
      <c r="C443" s="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7"/>
      <c r="B444" s="1"/>
      <c r="C444" s="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7"/>
      <c r="B445" s="1"/>
      <c r="C445" s="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7"/>
      <c r="B446" s="1"/>
      <c r="C446" s="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7"/>
      <c r="B447" s="1"/>
      <c r="C447" s="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7"/>
      <c r="B448" s="1"/>
      <c r="C448" s="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7"/>
      <c r="B449" s="1"/>
      <c r="C449" s="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7"/>
      <c r="B450" s="1"/>
      <c r="C450" s="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7"/>
      <c r="B451" s="1"/>
      <c r="C451" s="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7"/>
      <c r="B452" s="1"/>
      <c r="C452" s="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7"/>
      <c r="B453" s="1"/>
      <c r="C453" s="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7"/>
      <c r="B454" s="1"/>
      <c r="C454" s="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7"/>
      <c r="B455" s="1"/>
      <c r="C455" s="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7"/>
      <c r="B456" s="1"/>
      <c r="C456" s="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7"/>
      <c r="B457" s="1"/>
      <c r="C457" s="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7"/>
      <c r="B458" s="1"/>
      <c r="C458" s="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7"/>
      <c r="B459" s="1"/>
      <c r="C459" s="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7"/>
      <c r="B460" s="1"/>
      <c r="C460" s="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7"/>
      <c r="B461" s="1"/>
      <c r="C461" s="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7"/>
      <c r="B462" s="1"/>
      <c r="C462" s="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7"/>
      <c r="B463" s="1"/>
      <c r="C463" s="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7"/>
      <c r="B464" s="1"/>
      <c r="C464" s="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7"/>
      <c r="B465" s="1"/>
      <c r="C465" s="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7"/>
      <c r="B466" s="1"/>
      <c r="C466" s="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7"/>
      <c r="B467" s="1"/>
      <c r="C467" s="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7"/>
      <c r="B468" s="1"/>
      <c r="C468" s="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7"/>
      <c r="B469" s="1"/>
      <c r="C469" s="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7"/>
      <c r="B470" s="1"/>
      <c r="C470" s="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7"/>
      <c r="B471" s="1"/>
      <c r="C471" s="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7"/>
      <c r="B472" s="1"/>
      <c r="C472" s="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7"/>
      <c r="B473" s="1"/>
      <c r="C473" s="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7"/>
      <c r="B474" s="1"/>
      <c r="C474" s="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7"/>
      <c r="B475" s="1"/>
      <c r="C475" s="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7"/>
      <c r="B476" s="1"/>
      <c r="C476" s="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7"/>
      <c r="B477" s="1"/>
      <c r="C477" s="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7"/>
      <c r="B478" s="1"/>
      <c r="C478" s="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7"/>
      <c r="B479" s="1"/>
      <c r="C479" s="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7"/>
      <c r="B480" s="1"/>
      <c r="C480" s="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7"/>
      <c r="B481" s="1"/>
      <c r="C481" s="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7"/>
      <c r="B482" s="1"/>
      <c r="C482" s="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7"/>
      <c r="B483" s="1"/>
      <c r="C483" s="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7"/>
      <c r="B484" s="1"/>
      <c r="C484" s="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7"/>
      <c r="B485" s="1"/>
      <c r="C485" s="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7"/>
      <c r="B486" s="1"/>
      <c r="C486" s="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7"/>
      <c r="B487" s="1"/>
      <c r="C487" s="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7"/>
      <c r="B488" s="1"/>
      <c r="C488" s="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7"/>
      <c r="B489" s="1"/>
      <c r="C489" s="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7"/>
      <c r="B490" s="1"/>
      <c r="C490" s="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7"/>
      <c r="B491" s="1"/>
      <c r="C491" s="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7"/>
      <c r="B492" s="1"/>
      <c r="C492" s="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7"/>
      <c r="B493" s="1"/>
      <c r="C493" s="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7"/>
      <c r="B494" s="1"/>
      <c r="C494" s="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7"/>
      <c r="B495" s="1"/>
      <c r="C495" s="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7"/>
      <c r="B496" s="1"/>
      <c r="C496" s="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7"/>
      <c r="B497" s="1"/>
      <c r="C497" s="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7"/>
      <c r="B498" s="1"/>
      <c r="C498" s="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7"/>
      <c r="B499" s="1"/>
      <c r="C499" s="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7"/>
      <c r="B500" s="1"/>
      <c r="C500" s="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7"/>
      <c r="B501" s="1"/>
      <c r="C501" s="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7"/>
      <c r="B502" s="1"/>
      <c r="C502" s="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7"/>
      <c r="B503" s="1"/>
      <c r="C503" s="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7"/>
      <c r="B504" s="1"/>
      <c r="C504" s="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7"/>
      <c r="B505" s="1"/>
      <c r="C505" s="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7"/>
      <c r="B506" s="1"/>
      <c r="C506" s="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7"/>
      <c r="B507" s="1"/>
      <c r="C507" s="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7"/>
      <c r="B508" s="1"/>
      <c r="C508" s="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7"/>
      <c r="B509" s="1"/>
      <c r="C509" s="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7"/>
      <c r="B510" s="1"/>
      <c r="C510" s="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7"/>
      <c r="B511" s="1"/>
      <c r="C511" s="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7"/>
      <c r="B512" s="1"/>
      <c r="C512" s="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7"/>
      <c r="B513" s="1"/>
      <c r="C513" s="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7"/>
      <c r="B514" s="1"/>
      <c r="C514" s="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7"/>
      <c r="B515" s="1"/>
      <c r="C515" s="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7"/>
      <c r="B516" s="1"/>
      <c r="C516" s="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7"/>
      <c r="B517" s="1"/>
      <c r="C517" s="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7"/>
      <c r="B518" s="1"/>
      <c r="C518" s="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7"/>
      <c r="B519" s="1"/>
      <c r="C519" s="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7"/>
      <c r="B520" s="1"/>
      <c r="C520" s="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7"/>
      <c r="B521" s="1"/>
      <c r="C521" s="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7"/>
      <c r="B522" s="1"/>
      <c r="C522" s="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7"/>
      <c r="B523" s="1"/>
      <c r="C523" s="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7"/>
      <c r="B524" s="1"/>
      <c r="C524" s="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7"/>
      <c r="B525" s="1"/>
      <c r="C525" s="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7"/>
      <c r="B526" s="1"/>
      <c r="C526" s="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7"/>
      <c r="B527" s="1"/>
      <c r="C527" s="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7"/>
      <c r="B528" s="1"/>
      <c r="C528" s="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7"/>
      <c r="B529" s="1"/>
      <c r="C529" s="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7"/>
      <c r="B530" s="1"/>
      <c r="C530" s="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7"/>
      <c r="B531" s="1"/>
      <c r="C531" s="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7"/>
      <c r="B532" s="1"/>
      <c r="C532" s="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7"/>
      <c r="B533" s="1"/>
      <c r="C533" s="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7"/>
      <c r="B534" s="1"/>
      <c r="C534" s="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7"/>
      <c r="B535" s="1"/>
      <c r="C535" s="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7"/>
      <c r="B536" s="1"/>
      <c r="C536" s="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7"/>
      <c r="B537" s="1"/>
      <c r="C537" s="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7"/>
      <c r="B538" s="1"/>
      <c r="C538" s="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7"/>
      <c r="B539" s="1"/>
      <c r="C539" s="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7"/>
      <c r="B540" s="1"/>
      <c r="C540" s="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7"/>
      <c r="B541" s="1"/>
      <c r="C541" s="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7"/>
      <c r="B542" s="1"/>
      <c r="C542" s="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7"/>
      <c r="B543" s="1"/>
      <c r="C543" s="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7"/>
      <c r="B544" s="1"/>
      <c r="C544" s="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7"/>
      <c r="B545" s="1"/>
      <c r="C545" s="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7"/>
      <c r="B546" s="1"/>
      <c r="C546" s="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7"/>
      <c r="B547" s="1"/>
      <c r="C547" s="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7"/>
      <c r="B548" s="1"/>
      <c r="C548" s="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7"/>
      <c r="B549" s="1"/>
      <c r="C549" s="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7"/>
      <c r="B550" s="1"/>
      <c r="C550" s="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7"/>
      <c r="B551" s="1"/>
      <c r="C551" s="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7"/>
      <c r="B552" s="1"/>
      <c r="C552" s="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7"/>
      <c r="B553" s="1"/>
      <c r="C553" s="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7"/>
      <c r="B554" s="1"/>
      <c r="C554" s="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7"/>
      <c r="B555" s="1"/>
      <c r="C555" s="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7"/>
      <c r="B556" s="1"/>
      <c r="C556" s="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7"/>
      <c r="B557" s="1"/>
      <c r="C557" s="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7"/>
      <c r="B558" s="1"/>
      <c r="C558" s="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7"/>
      <c r="B559" s="1"/>
      <c r="C559" s="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7"/>
      <c r="B560" s="1"/>
      <c r="C560" s="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7"/>
      <c r="B561" s="1"/>
      <c r="C561" s="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7"/>
      <c r="B562" s="1"/>
      <c r="C562" s="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7"/>
      <c r="B563" s="1"/>
      <c r="C563" s="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7"/>
      <c r="B564" s="1"/>
      <c r="C564" s="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7"/>
      <c r="B565" s="1"/>
      <c r="C565" s="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7"/>
      <c r="B566" s="1"/>
      <c r="C566" s="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7"/>
      <c r="B567" s="1"/>
      <c r="C567" s="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7"/>
      <c r="B568" s="1"/>
      <c r="C568" s="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7"/>
      <c r="B569" s="1"/>
      <c r="C569" s="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7"/>
      <c r="B570" s="1"/>
      <c r="C570" s="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7"/>
      <c r="B571" s="1"/>
      <c r="C571" s="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7"/>
      <c r="B572" s="1"/>
      <c r="C572" s="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7"/>
      <c r="B573" s="1"/>
      <c r="C573" s="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7"/>
      <c r="B574" s="1"/>
      <c r="C574" s="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7"/>
      <c r="B575" s="1"/>
      <c r="C575" s="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7"/>
      <c r="B576" s="1"/>
      <c r="C576" s="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7"/>
      <c r="B577" s="1"/>
      <c r="C577" s="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7"/>
      <c r="B578" s="1"/>
      <c r="C578" s="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7"/>
      <c r="B579" s="1"/>
      <c r="C579" s="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7"/>
      <c r="B580" s="1"/>
      <c r="C580" s="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7"/>
      <c r="B581" s="1"/>
      <c r="C581" s="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7"/>
      <c r="B582" s="1"/>
      <c r="C582" s="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7"/>
      <c r="B583" s="1"/>
      <c r="C583" s="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7"/>
      <c r="B584" s="1"/>
      <c r="C584" s="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7"/>
      <c r="B585" s="1"/>
      <c r="C585" s="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7"/>
      <c r="B586" s="1"/>
      <c r="C586" s="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7"/>
      <c r="B587" s="1"/>
      <c r="C587" s="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7"/>
      <c r="B588" s="1"/>
      <c r="C588" s="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7"/>
      <c r="B589" s="1"/>
      <c r="C589" s="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7"/>
      <c r="B590" s="1"/>
      <c r="C590" s="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7"/>
      <c r="B591" s="1"/>
      <c r="C591" s="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7"/>
      <c r="B592" s="1"/>
      <c r="C592" s="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7"/>
      <c r="B593" s="1"/>
      <c r="C593" s="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7"/>
      <c r="B594" s="1"/>
      <c r="C594" s="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7"/>
      <c r="B595" s="1"/>
      <c r="C595" s="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7"/>
      <c r="B596" s="1"/>
      <c r="C596" s="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7"/>
      <c r="B597" s="1"/>
      <c r="C597" s="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7"/>
      <c r="B598" s="1"/>
      <c r="C598" s="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7"/>
      <c r="B599" s="1"/>
      <c r="C599" s="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7"/>
      <c r="B600" s="1"/>
      <c r="C600" s="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7"/>
      <c r="B601" s="1"/>
      <c r="C601" s="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7"/>
      <c r="B602" s="1"/>
      <c r="C602" s="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7"/>
      <c r="B603" s="1"/>
      <c r="C603" s="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7"/>
      <c r="B604" s="1"/>
      <c r="C604" s="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7"/>
      <c r="B605" s="1"/>
      <c r="C605" s="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7"/>
      <c r="B606" s="1"/>
      <c r="C606" s="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7"/>
      <c r="B607" s="1"/>
      <c r="C607" s="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7"/>
      <c r="B608" s="1"/>
      <c r="C608" s="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7"/>
      <c r="B609" s="1"/>
      <c r="C609" s="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7"/>
      <c r="B610" s="1"/>
      <c r="C610" s="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7"/>
      <c r="B611" s="1"/>
      <c r="C611" s="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7"/>
      <c r="B612" s="1"/>
      <c r="C612" s="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7"/>
      <c r="B613" s="1"/>
      <c r="C613" s="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7"/>
      <c r="B614" s="1"/>
      <c r="C614" s="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7"/>
      <c r="B615" s="1"/>
      <c r="C615" s="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7"/>
      <c r="B616" s="1"/>
      <c r="C616" s="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7"/>
      <c r="B617" s="1"/>
      <c r="C617" s="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7"/>
      <c r="B618" s="1"/>
      <c r="C618" s="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7"/>
      <c r="B619" s="1"/>
      <c r="C619" s="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7"/>
      <c r="B620" s="1"/>
      <c r="C620" s="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7"/>
      <c r="B621" s="1"/>
      <c r="C621" s="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7"/>
      <c r="B622" s="1"/>
      <c r="C622" s="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7"/>
      <c r="B623" s="1"/>
      <c r="C623" s="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7"/>
      <c r="B624" s="1"/>
      <c r="C624" s="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7"/>
      <c r="B625" s="1"/>
      <c r="C625" s="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7"/>
      <c r="B626" s="1"/>
      <c r="C626" s="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7"/>
      <c r="B627" s="1"/>
      <c r="C627" s="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7"/>
      <c r="B628" s="1"/>
      <c r="C628" s="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7"/>
      <c r="B629" s="1"/>
      <c r="C629" s="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7"/>
      <c r="B630" s="1"/>
      <c r="C630" s="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7"/>
      <c r="B631" s="1"/>
      <c r="C631" s="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7"/>
      <c r="B632" s="1"/>
      <c r="C632" s="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7"/>
      <c r="B633" s="1"/>
      <c r="C633" s="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7"/>
      <c r="B634" s="1"/>
      <c r="C634" s="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7"/>
      <c r="B635" s="1"/>
      <c r="C635" s="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7"/>
      <c r="B636" s="1"/>
      <c r="C636" s="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7"/>
      <c r="B637" s="1"/>
      <c r="C637" s="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7"/>
      <c r="B638" s="1"/>
      <c r="C638" s="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7"/>
      <c r="B639" s="1"/>
      <c r="C639" s="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7"/>
      <c r="B640" s="1"/>
      <c r="C640" s="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7"/>
      <c r="B641" s="1"/>
      <c r="C641" s="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7"/>
      <c r="B642" s="1"/>
      <c r="C642" s="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7"/>
      <c r="B643" s="1"/>
      <c r="C643" s="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7"/>
      <c r="B644" s="1"/>
      <c r="C644" s="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7"/>
      <c r="B645" s="1"/>
      <c r="C645" s="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7"/>
      <c r="B646" s="1"/>
      <c r="C646" s="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7"/>
      <c r="B647" s="1"/>
      <c r="C647" s="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7"/>
      <c r="B648" s="1"/>
      <c r="C648" s="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7"/>
      <c r="B649" s="1"/>
      <c r="C649" s="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7"/>
      <c r="B650" s="1"/>
      <c r="C650" s="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7"/>
      <c r="B651" s="1"/>
      <c r="C651" s="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7"/>
      <c r="B652" s="1"/>
      <c r="C652" s="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7"/>
      <c r="B653" s="1"/>
      <c r="C653" s="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7"/>
      <c r="B654" s="1"/>
      <c r="C654" s="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7"/>
      <c r="B655" s="1"/>
      <c r="C655" s="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7"/>
      <c r="B656" s="1"/>
      <c r="C656" s="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7"/>
      <c r="B657" s="1"/>
      <c r="C657" s="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7"/>
      <c r="B658" s="1"/>
      <c r="C658" s="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7"/>
      <c r="B659" s="1"/>
      <c r="C659" s="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7"/>
      <c r="B660" s="1"/>
      <c r="C660" s="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7"/>
      <c r="B661" s="1"/>
      <c r="C661" s="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7"/>
      <c r="B662" s="1"/>
      <c r="C662" s="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7"/>
      <c r="B663" s="1"/>
      <c r="C663" s="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7"/>
      <c r="B664" s="1"/>
      <c r="C664" s="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7"/>
      <c r="B665" s="1"/>
      <c r="C665" s="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7"/>
      <c r="B666" s="1"/>
      <c r="C666" s="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7"/>
      <c r="B667" s="1"/>
      <c r="C667" s="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7"/>
      <c r="B668" s="1"/>
      <c r="C668" s="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7"/>
      <c r="B669" s="1"/>
      <c r="C669" s="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7"/>
      <c r="B670" s="1"/>
      <c r="C670" s="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7"/>
      <c r="B671" s="1"/>
      <c r="C671" s="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7"/>
      <c r="B672" s="1"/>
      <c r="C672" s="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7"/>
      <c r="B673" s="1"/>
      <c r="C673" s="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7"/>
      <c r="B674" s="1"/>
      <c r="C674" s="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7"/>
      <c r="B675" s="1"/>
      <c r="C675" s="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7"/>
      <c r="B676" s="1"/>
      <c r="C676" s="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7"/>
      <c r="B677" s="1"/>
      <c r="C677" s="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7"/>
      <c r="B678" s="1"/>
      <c r="C678" s="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7"/>
      <c r="B679" s="1"/>
      <c r="C679" s="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7"/>
      <c r="B680" s="1"/>
      <c r="C680" s="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7"/>
      <c r="B681" s="1"/>
      <c r="C681" s="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7"/>
      <c r="B682" s="1"/>
      <c r="C682" s="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7"/>
      <c r="B683" s="1"/>
      <c r="C683" s="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7"/>
      <c r="B684" s="1"/>
      <c r="C684" s="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7"/>
      <c r="B685" s="1"/>
      <c r="C685" s="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7"/>
      <c r="B686" s="1"/>
      <c r="C686" s="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7"/>
      <c r="B687" s="1"/>
      <c r="C687" s="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7"/>
      <c r="B688" s="1"/>
      <c r="C688" s="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7"/>
      <c r="B689" s="1"/>
      <c r="C689" s="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7"/>
      <c r="B690" s="1"/>
      <c r="C690" s="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7"/>
      <c r="B691" s="1"/>
      <c r="C691" s="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7"/>
      <c r="B692" s="1"/>
      <c r="C692" s="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7"/>
      <c r="B693" s="1"/>
      <c r="C693" s="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7"/>
      <c r="B694" s="1"/>
      <c r="C694" s="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7"/>
      <c r="B695" s="1"/>
      <c r="C695" s="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7"/>
      <c r="B696" s="1"/>
      <c r="C696" s="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7"/>
      <c r="B697" s="1"/>
      <c r="C697" s="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7"/>
      <c r="B698" s="1"/>
      <c r="C698" s="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7"/>
      <c r="B699" s="1"/>
      <c r="C699" s="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7"/>
      <c r="B700" s="1"/>
      <c r="C700" s="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7"/>
      <c r="B701" s="1"/>
      <c r="C701" s="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7"/>
      <c r="B702" s="1"/>
      <c r="C702" s="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7"/>
      <c r="B703" s="1"/>
      <c r="C703" s="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7"/>
      <c r="B704" s="1"/>
      <c r="C704" s="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7"/>
      <c r="B705" s="1"/>
      <c r="C705" s="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7"/>
      <c r="B706" s="1"/>
      <c r="C706" s="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7"/>
      <c r="B707" s="1"/>
      <c r="C707" s="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7"/>
      <c r="B708" s="1"/>
      <c r="C708" s="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7"/>
      <c r="B709" s="1"/>
      <c r="C709" s="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7"/>
      <c r="B710" s="1"/>
      <c r="C710" s="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7"/>
      <c r="B711" s="1"/>
      <c r="C711" s="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7"/>
      <c r="B712" s="1"/>
      <c r="C712" s="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7"/>
      <c r="B713" s="1"/>
      <c r="C713" s="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7"/>
      <c r="B714" s="1"/>
      <c r="C714" s="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7"/>
      <c r="B715" s="1"/>
      <c r="C715" s="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7"/>
      <c r="B716" s="1"/>
      <c r="C716" s="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7"/>
      <c r="B717" s="1"/>
      <c r="C717" s="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7"/>
      <c r="B718" s="1"/>
      <c r="C718" s="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7"/>
      <c r="B719" s="1"/>
      <c r="C719" s="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7"/>
      <c r="B720" s="1"/>
      <c r="C720" s="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7"/>
      <c r="B721" s="1"/>
      <c r="C721" s="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7"/>
      <c r="B722" s="1"/>
      <c r="C722" s="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7"/>
      <c r="B723" s="1"/>
      <c r="C723" s="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7"/>
      <c r="B724" s="1"/>
      <c r="C724" s="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7"/>
      <c r="B725" s="1"/>
      <c r="C725" s="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7"/>
      <c r="B726" s="1"/>
      <c r="C726" s="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7"/>
      <c r="B727" s="1"/>
      <c r="C727" s="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7"/>
      <c r="B728" s="1"/>
      <c r="C728" s="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7"/>
      <c r="B729" s="1"/>
      <c r="C729" s="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7"/>
      <c r="B730" s="1"/>
      <c r="C730" s="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7"/>
      <c r="B731" s="1"/>
      <c r="C731" s="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7"/>
      <c r="B732" s="1"/>
      <c r="C732" s="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7"/>
      <c r="B733" s="1"/>
      <c r="C733" s="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7"/>
      <c r="B734" s="1"/>
      <c r="C734" s="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7"/>
      <c r="B735" s="1"/>
      <c r="C735" s="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7"/>
      <c r="B736" s="1"/>
      <c r="C736" s="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7"/>
      <c r="B737" s="1"/>
      <c r="C737" s="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7"/>
      <c r="B738" s="1"/>
      <c r="C738" s="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7"/>
      <c r="B739" s="1"/>
      <c r="C739" s="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7"/>
      <c r="B740" s="1"/>
      <c r="C740" s="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7"/>
      <c r="B741" s="1"/>
      <c r="C741" s="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7"/>
      <c r="B742" s="1"/>
      <c r="C742" s="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7"/>
      <c r="B743" s="1"/>
      <c r="C743" s="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7"/>
      <c r="B744" s="1"/>
      <c r="C744" s="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7"/>
      <c r="B745" s="1"/>
      <c r="C745" s="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7"/>
      <c r="B746" s="1"/>
      <c r="C746" s="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7"/>
      <c r="B747" s="1"/>
      <c r="C747" s="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7"/>
      <c r="B748" s="1"/>
      <c r="C748" s="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7"/>
      <c r="B749" s="1"/>
      <c r="C749" s="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7"/>
      <c r="B750" s="1"/>
      <c r="C750" s="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7"/>
      <c r="B751" s="1"/>
      <c r="C751" s="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7"/>
      <c r="B752" s="1"/>
      <c r="C752" s="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7"/>
      <c r="B753" s="1"/>
      <c r="C753" s="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7"/>
      <c r="B754" s="1"/>
      <c r="C754" s="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7"/>
      <c r="B755" s="1"/>
      <c r="C755" s="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7"/>
      <c r="B756" s="1"/>
      <c r="C756" s="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7"/>
      <c r="B757" s="1"/>
      <c r="C757" s="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7"/>
      <c r="B758" s="1"/>
      <c r="C758" s="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7"/>
      <c r="B759" s="1"/>
      <c r="C759" s="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7"/>
      <c r="B760" s="1"/>
      <c r="C760" s="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7"/>
      <c r="B761" s="1"/>
      <c r="C761" s="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7"/>
      <c r="B762" s="1"/>
      <c r="C762" s="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7"/>
      <c r="B763" s="1"/>
      <c r="C763" s="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7"/>
      <c r="B764" s="1"/>
      <c r="C764" s="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7"/>
      <c r="B765" s="1"/>
      <c r="C765" s="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7"/>
      <c r="B766" s="1"/>
      <c r="C766" s="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7"/>
      <c r="B767" s="1"/>
      <c r="C767" s="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7"/>
      <c r="B768" s="1"/>
      <c r="C768" s="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7"/>
      <c r="B769" s="1"/>
      <c r="C769" s="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7"/>
      <c r="B770" s="1"/>
      <c r="C770" s="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7"/>
      <c r="B771" s="1"/>
      <c r="C771" s="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7"/>
      <c r="B772" s="1"/>
      <c r="C772" s="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7"/>
      <c r="B773" s="1"/>
      <c r="C773" s="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7"/>
      <c r="B774" s="1"/>
      <c r="C774" s="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7"/>
      <c r="B775" s="1"/>
      <c r="C775" s="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7"/>
      <c r="B776" s="1"/>
      <c r="C776" s="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7"/>
      <c r="B777" s="1"/>
      <c r="C777" s="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7"/>
      <c r="B778" s="1"/>
      <c r="C778" s="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7"/>
      <c r="B779" s="1"/>
      <c r="C779" s="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7"/>
      <c r="B780" s="1"/>
      <c r="C780" s="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7"/>
      <c r="B781" s="1"/>
      <c r="C781" s="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7"/>
      <c r="B782" s="1"/>
      <c r="C782" s="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7"/>
      <c r="B783" s="1"/>
      <c r="C783" s="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7"/>
      <c r="B784" s="1"/>
      <c r="C784" s="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7"/>
      <c r="B785" s="1"/>
      <c r="C785" s="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7"/>
      <c r="B786" s="1"/>
      <c r="C786" s="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7"/>
      <c r="B787" s="1"/>
      <c r="C787" s="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7"/>
      <c r="B788" s="1"/>
      <c r="C788" s="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7"/>
      <c r="B789" s="1"/>
      <c r="C789" s="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7"/>
      <c r="B790" s="1"/>
      <c r="C790" s="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7"/>
      <c r="B791" s="1"/>
      <c r="C791" s="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7"/>
      <c r="B792" s="1"/>
      <c r="C792" s="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7"/>
      <c r="B793" s="1"/>
      <c r="C793" s="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7"/>
      <c r="B794" s="1"/>
      <c r="C794" s="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7"/>
      <c r="B795" s="1"/>
      <c r="C795" s="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7"/>
      <c r="B796" s="1"/>
      <c r="C796" s="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7"/>
      <c r="B797" s="1"/>
      <c r="C797" s="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7"/>
      <c r="B798" s="1"/>
      <c r="C798" s="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7"/>
      <c r="B799" s="1"/>
      <c r="C799" s="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7"/>
      <c r="B800" s="1"/>
      <c r="C800" s="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7"/>
      <c r="B801" s="1"/>
      <c r="C801" s="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7"/>
      <c r="B802" s="1"/>
      <c r="C802" s="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7"/>
      <c r="B803" s="1"/>
      <c r="C803" s="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7"/>
      <c r="B804" s="1"/>
      <c r="C804" s="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7"/>
      <c r="B805" s="1"/>
      <c r="C805" s="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7"/>
      <c r="B806" s="1"/>
      <c r="C806" s="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7"/>
      <c r="B807" s="1"/>
      <c r="C807" s="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7"/>
      <c r="B808" s="1"/>
      <c r="C808" s="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7"/>
      <c r="B809" s="1"/>
      <c r="C809" s="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7"/>
      <c r="B810" s="1"/>
      <c r="C810" s="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7"/>
      <c r="B811" s="1"/>
      <c r="C811" s="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7"/>
      <c r="B812" s="1"/>
      <c r="C812" s="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7"/>
      <c r="B813" s="1"/>
      <c r="C813" s="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7"/>
      <c r="B814" s="1"/>
      <c r="C814" s="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7"/>
      <c r="B815" s="1"/>
      <c r="C815" s="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7"/>
      <c r="B816" s="1"/>
      <c r="C816" s="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7"/>
      <c r="B817" s="1"/>
      <c r="C817" s="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7"/>
      <c r="B818" s="1"/>
      <c r="C818" s="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7"/>
      <c r="B819" s="1"/>
      <c r="C819" s="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7"/>
      <c r="B820" s="1"/>
      <c r="C820" s="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7"/>
      <c r="B821" s="1"/>
      <c r="C821" s="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7"/>
      <c r="B822" s="1"/>
      <c r="C822" s="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7"/>
      <c r="B823" s="1"/>
      <c r="C823" s="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7"/>
      <c r="B824" s="1"/>
      <c r="C824" s="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7"/>
      <c r="B825" s="1"/>
      <c r="C825" s="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7"/>
      <c r="B826" s="1"/>
      <c r="C826" s="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7"/>
      <c r="B827" s="1"/>
      <c r="C827" s="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7"/>
      <c r="B828" s="1"/>
      <c r="C828" s="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7"/>
      <c r="B829" s="1"/>
      <c r="C829" s="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7"/>
      <c r="B830" s="1"/>
      <c r="C830" s="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7"/>
      <c r="B831" s="1"/>
      <c r="C831" s="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7"/>
      <c r="B832" s="1"/>
      <c r="C832" s="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7"/>
      <c r="B833" s="1"/>
      <c r="C833" s="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7"/>
      <c r="B834" s="1"/>
      <c r="C834" s="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7"/>
      <c r="B835" s="1"/>
      <c r="C835" s="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7"/>
      <c r="B836" s="1"/>
      <c r="C836" s="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7"/>
      <c r="B837" s="1"/>
      <c r="C837" s="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7"/>
      <c r="B838" s="1"/>
      <c r="C838" s="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7"/>
      <c r="B839" s="1"/>
      <c r="C839" s="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7"/>
      <c r="B840" s="1"/>
      <c r="C840" s="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7"/>
      <c r="B841" s="1"/>
      <c r="C841" s="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7"/>
      <c r="B842" s="1"/>
      <c r="C842" s="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7"/>
      <c r="B843" s="1"/>
      <c r="C843" s="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7"/>
      <c r="B844" s="1"/>
      <c r="C844" s="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7"/>
      <c r="B845" s="1"/>
      <c r="C845" s="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7"/>
      <c r="B846" s="1"/>
      <c r="C846" s="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7"/>
      <c r="B847" s="1"/>
      <c r="C847" s="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7"/>
      <c r="B848" s="1"/>
      <c r="C848" s="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7"/>
      <c r="B849" s="1"/>
      <c r="C849" s="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7"/>
      <c r="B850" s="1"/>
      <c r="C850" s="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7"/>
      <c r="B851" s="1"/>
      <c r="C851" s="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7"/>
      <c r="B852" s="1"/>
      <c r="C852" s="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7"/>
      <c r="B853" s="1"/>
      <c r="C853" s="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7"/>
      <c r="B854" s="1"/>
      <c r="C854" s="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7"/>
      <c r="B855" s="1"/>
      <c r="C855" s="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7"/>
      <c r="B856" s="1"/>
      <c r="C856" s="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7"/>
      <c r="B857" s="1"/>
      <c r="C857" s="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7"/>
      <c r="B858" s="1"/>
      <c r="C858" s="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7"/>
      <c r="B859" s="1"/>
      <c r="C859" s="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7"/>
      <c r="B860" s="1"/>
      <c r="C860" s="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7"/>
      <c r="B861" s="1"/>
      <c r="C861" s="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7"/>
      <c r="B862" s="1"/>
      <c r="C862" s="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7"/>
      <c r="B863" s="1"/>
      <c r="C863" s="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7"/>
      <c r="B864" s="1"/>
      <c r="C864" s="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7"/>
      <c r="B865" s="1"/>
      <c r="C865" s="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7"/>
      <c r="B866" s="1"/>
      <c r="C866" s="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7"/>
      <c r="B867" s="1"/>
      <c r="C867" s="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7"/>
      <c r="B868" s="1"/>
      <c r="C868" s="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7"/>
      <c r="B869" s="1"/>
      <c r="C869" s="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7"/>
      <c r="B870" s="1"/>
      <c r="C870" s="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7"/>
      <c r="B871" s="1"/>
      <c r="C871" s="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7"/>
      <c r="B872" s="1"/>
      <c r="C872" s="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7"/>
      <c r="B873" s="1"/>
      <c r="C873" s="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7"/>
      <c r="B874" s="1"/>
      <c r="C874" s="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7"/>
      <c r="B875" s="1"/>
      <c r="C875" s="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7"/>
      <c r="B876" s="1"/>
      <c r="C876" s="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7"/>
      <c r="B877" s="1"/>
      <c r="C877" s="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7"/>
      <c r="B878" s="1"/>
      <c r="C878" s="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7"/>
      <c r="B879" s="1"/>
      <c r="C879" s="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7"/>
      <c r="B880" s="1"/>
      <c r="C880" s="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7"/>
      <c r="B881" s="1"/>
      <c r="C881" s="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7"/>
      <c r="B882" s="1"/>
      <c r="C882" s="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7"/>
      <c r="B883" s="1"/>
      <c r="C883" s="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7"/>
      <c r="B884" s="1"/>
      <c r="C884" s="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7"/>
      <c r="B885" s="1"/>
      <c r="C885" s="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7"/>
      <c r="B886" s="1"/>
      <c r="C886" s="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7"/>
      <c r="B887" s="1"/>
      <c r="C887" s="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7"/>
      <c r="B888" s="1"/>
      <c r="C888" s="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7"/>
      <c r="B889" s="1"/>
      <c r="C889" s="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7"/>
      <c r="B890" s="1"/>
      <c r="C890" s="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7"/>
      <c r="B891" s="1"/>
      <c r="C891" s="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7"/>
      <c r="B892" s="1"/>
      <c r="C892" s="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7"/>
      <c r="B893" s="1"/>
      <c r="C893" s="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7"/>
      <c r="B894" s="1"/>
      <c r="C894" s="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7"/>
      <c r="B895" s="1"/>
      <c r="C895" s="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7"/>
      <c r="B896" s="1"/>
      <c r="C896" s="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7"/>
      <c r="B897" s="1"/>
      <c r="C897" s="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7"/>
      <c r="B898" s="1"/>
      <c r="C898" s="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7"/>
      <c r="B899" s="1"/>
      <c r="C899" s="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7"/>
      <c r="B900" s="1"/>
      <c r="C900" s="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7"/>
      <c r="B901" s="1"/>
      <c r="C901" s="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7"/>
      <c r="B902" s="1"/>
      <c r="C902" s="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7"/>
      <c r="B903" s="1"/>
      <c r="C903" s="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7"/>
      <c r="B904" s="1"/>
      <c r="C904" s="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7"/>
      <c r="B905" s="1"/>
      <c r="C905" s="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7"/>
      <c r="B906" s="1"/>
      <c r="C906" s="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7"/>
      <c r="B907" s="1"/>
      <c r="C907" s="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7"/>
      <c r="B908" s="1"/>
      <c r="C908" s="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7"/>
      <c r="B909" s="1"/>
      <c r="C909" s="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7"/>
      <c r="B910" s="1"/>
      <c r="C910" s="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7"/>
      <c r="B911" s="1"/>
      <c r="C911" s="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7"/>
      <c r="B912" s="1"/>
      <c r="C912" s="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7"/>
      <c r="B913" s="1"/>
      <c r="C913" s="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7"/>
      <c r="B914" s="1"/>
      <c r="C914" s="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7"/>
      <c r="B915" s="1"/>
      <c r="C915" s="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7"/>
      <c r="B916" s="1"/>
      <c r="C916" s="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7"/>
      <c r="B917" s="1"/>
      <c r="C917" s="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7"/>
      <c r="B918" s="1"/>
      <c r="C918" s="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7"/>
      <c r="B919" s="1"/>
      <c r="C919" s="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7"/>
      <c r="B920" s="1"/>
      <c r="C920" s="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7"/>
      <c r="B921" s="1"/>
      <c r="C921" s="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7"/>
      <c r="B922" s="1"/>
      <c r="C922" s="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7"/>
      <c r="B923" s="1"/>
      <c r="C923" s="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7"/>
      <c r="B924" s="1"/>
      <c r="C924" s="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7"/>
      <c r="B925" s="1"/>
      <c r="C925" s="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7"/>
      <c r="B926" s="1"/>
      <c r="C926" s="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7"/>
      <c r="B927" s="1"/>
      <c r="C927" s="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7"/>
      <c r="B928" s="1"/>
      <c r="C928" s="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7"/>
      <c r="B929" s="1"/>
      <c r="C929" s="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7"/>
      <c r="B930" s="1"/>
      <c r="C930" s="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7"/>
      <c r="B931" s="1"/>
      <c r="C931" s="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7"/>
      <c r="B932" s="1"/>
      <c r="C932" s="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7"/>
      <c r="B933" s="1"/>
      <c r="C933" s="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7"/>
      <c r="B934" s="1"/>
      <c r="C934" s="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7"/>
      <c r="B935" s="1"/>
      <c r="C935" s="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7"/>
      <c r="B936" s="1"/>
      <c r="C936" s="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7"/>
      <c r="B937" s="1"/>
      <c r="C937" s="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7"/>
      <c r="B938" s="1"/>
      <c r="C938" s="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7"/>
      <c r="B939" s="1"/>
      <c r="C939" s="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7"/>
      <c r="B940" s="1"/>
      <c r="C940" s="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7"/>
      <c r="B941" s="1"/>
      <c r="C941" s="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7"/>
      <c r="B942" s="1"/>
      <c r="C942" s="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7"/>
      <c r="B943" s="1"/>
      <c r="C943" s="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7"/>
      <c r="B944" s="1"/>
      <c r="C944" s="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7"/>
      <c r="B945" s="1"/>
      <c r="C945" s="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7"/>
      <c r="B946" s="1"/>
      <c r="C946" s="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7"/>
      <c r="B947" s="1"/>
      <c r="C947" s="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7"/>
      <c r="B948" s="1"/>
      <c r="C948" s="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7"/>
      <c r="B949" s="1"/>
      <c r="C949" s="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7"/>
      <c r="B950" s="1"/>
      <c r="C950" s="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7"/>
      <c r="B951" s="1"/>
      <c r="C951" s="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7"/>
      <c r="B952" s="1"/>
      <c r="C952" s="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7"/>
      <c r="B953" s="1"/>
      <c r="C953" s="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7"/>
      <c r="B954" s="1"/>
      <c r="C954" s="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7"/>
      <c r="B955" s="1"/>
      <c r="C955" s="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7"/>
      <c r="B956" s="1"/>
      <c r="C956" s="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7"/>
      <c r="B957" s="1"/>
      <c r="C957" s="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7"/>
      <c r="B958" s="1"/>
      <c r="C958" s="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7"/>
      <c r="B959" s="1"/>
      <c r="C959" s="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7"/>
      <c r="B960" s="1"/>
      <c r="C960" s="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7"/>
      <c r="B961" s="1"/>
      <c r="C961" s="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7"/>
      <c r="B962" s="1"/>
      <c r="C962" s="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7"/>
      <c r="B963" s="1"/>
      <c r="C963" s="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7"/>
      <c r="B964" s="1"/>
      <c r="C964" s="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7"/>
      <c r="B965" s="1"/>
      <c r="C965" s="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7"/>
      <c r="B966" s="1"/>
      <c r="C966" s="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7"/>
      <c r="B967" s="1"/>
      <c r="C967" s="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7"/>
      <c r="B968" s="1"/>
      <c r="C968" s="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7"/>
      <c r="B969" s="1"/>
      <c r="C969" s="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7"/>
      <c r="B970" s="1"/>
      <c r="C970" s="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7"/>
      <c r="B971" s="1"/>
      <c r="C971" s="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7"/>
      <c r="B972" s="1"/>
      <c r="C972" s="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7"/>
      <c r="B973" s="1"/>
      <c r="C973" s="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7"/>
      <c r="B974" s="1"/>
      <c r="C974" s="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7"/>
      <c r="B975" s="1"/>
      <c r="C975" s="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7"/>
      <c r="B976" s="1"/>
      <c r="C976" s="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7"/>
      <c r="B977" s="1"/>
      <c r="C977" s="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7"/>
      <c r="B978" s="1"/>
      <c r="C978" s="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7"/>
      <c r="B979" s="1"/>
      <c r="C979" s="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7"/>
      <c r="B980" s="1"/>
      <c r="C980" s="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7"/>
      <c r="B981" s="1"/>
      <c r="C981" s="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7"/>
      <c r="B982" s="1"/>
      <c r="C982" s="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7"/>
      <c r="B983" s="1"/>
      <c r="C983" s="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7"/>
      <c r="B984" s="1"/>
      <c r="C984" s="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7"/>
      <c r="B985" s="1"/>
      <c r="C985" s="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7"/>
      <c r="B986" s="1"/>
      <c r="C986" s="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7"/>
      <c r="B987" s="1"/>
      <c r="C987" s="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7"/>
      <c r="B988" s="1"/>
      <c r="C988" s="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7"/>
      <c r="B989" s="1"/>
      <c r="C989" s="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7"/>
      <c r="B990" s="1"/>
      <c r="C990" s="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7"/>
      <c r="B991" s="1"/>
      <c r="C991" s="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7"/>
      <c r="B992" s="1"/>
      <c r="C992" s="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7"/>
      <c r="B993" s="1"/>
      <c r="C993" s="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7"/>
      <c r="B994" s="1"/>
      <c r="C994" s="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7"/>
      <c r="B995" s="1"/>
      <c r="C995" s="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7"/>
      <c r="B996" s="1"/>
      <c r="C996" s="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7"/>
      <c r="B997" s="1"/>
      <c r="C997" s="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7"/>
      <c r="B998" s="1"/>
      <c r="C998" s="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7"/>
      <c r="B999" s="1"/>
      <c r="C999" s="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7"/>
      <c r="B1000" s="1"/>
      <c r="C1000" s="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0" customHeight="1">
      <c r="A1001" s="7"/>
      <c r="B1001" s="1"/>
      <c r="C1001" s="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0" customHeight="1">
      <c r="A1002" s="7"/>
      <c r="B1002" s="1"/>
      <c r="C1002" s="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0" customHeight="1">
      <c r="A1003" s="7"/>
      <c r="B1003" s="1"/>
      <c r="C1003" s="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0" customHeight="1">
      <c r="A1004" s="7"/>
      <c r="B1004" s="1"/>
      <c r="C1004" s="8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0" customHeight="1">
      <c r="A1005" s="7"/>
      <c r="B1005" s="1"/>
      <c r="C1005" s="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0" customHeight="1">
      <c r="A1006" s="7"/>
      <c r="B1006" s="1"/>
      <c r="C1006" s="8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0" customHeight="1">
      <c r="A1007" s="7"/>
      <c r="B1007" s="1"/>
      <c r="C1007" s="8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0" customHeight="1">
      <c r="A1008" s="7"/>
      <c r="B1008" s="1"/>
      <c r="C1008" s="8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0" customHeight="1">
      <c r="A1009" s="7"/>
      <c r="B1009" s="1"/>
      <c r="C1009" s="8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0" customHeight="1">
      <c r="A1010" s="7"/>
      <c r="B1010" s="1"/>
      <c r="C1010" s="8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2.0" customHeight="1">
      <c r="A1011" s="7"/>
      <c r="B1011" s="1"/>
      <c r="C1011" s="8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2.0" customHeight="1">
      <c r="A1012" s="7"/>
      <c r="B1012" s="1"/>
      <c r="C1012" s="8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0" customHeight="1">
      <c r="A1013" s="7"/>
      <c r="B1013" s="1"/>
      <c r="C1013" s="8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2.0" customHeight="1">
      <c r="A1014" s="7"/>
      <c r="B1014" s="1"/>
      <c r="C1014" s="8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2.0" customHeight="1">
      <c r="A1015" s="7"/>
      <c r="B1015" s="1"/>
      <c r="C1015" s="8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2.0" customHeight="1">
      <c r="A1016" s="7"/>
      <c r="B1016" s="1"/>
      <c r="C1016" s="8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2.0" customHeight="1">
      <c r="A1017" s="7"/>
      <c r="B1017" s="1"/>
      <c r="C1017" s="8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63"/>
    <col customWidth="1" min="3" max="3" width="13.25"/>
  </cols>
  <sheetData>
    <row r="1" ht="12.0" customHeight="1">
      <c r="A1" s="7"/>
      <c r="B1" s="1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7"/>
      <c r="B2" s="12" t="s">
        <v>63</v>
      </c>
      <c r="C2" s="10"/>
      <c r="D2" s="13"/>
      <c r="E2" s="1"/>
      <c r="F2" s="12"/>
      <c r="G2" s="1"/>
      <c r="H2" s="1"/>
      <c r="I2" s="1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7"/>
      <c r="B3" s="13" t="s">
        <v>28</v>
      </c>
      <c r="C3" s="15"/>
      <c r="D3" s="13"/>
      <c r="E3" s="1"/>
      <c r="F3" s="12"/>
      <c r="G3" s="1"/>
      <c r="H3" s="1"/>
      <c r="I3" s="1"/>
      <c r="J3" s="1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7"/>
      <c r="B4" s="13" t="s">
        <v>64</v>
      </c>
      <c r="C4" s="10"/>
      <c r="D4" s="13"/>
      <c r="E4" s="1"/>
      <c r="F4" s="12"/>
      <c r="G4" s="1"/>
      <c r="H4" s="1"/>
      <c r="I4" s="1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7"/>
      <c r="B5" s="13" t="s">
        <v>65</v>
      </c>
      <c r="C5" s="35">
        <v>0.1</v>
      </c>
      <c r="D5" s="13"/>
      <c r="E5" s="1"/>
      <c r="F5" s="12"/>
      <c r="G5" s="1"/>
      <c r="H5" s="1"/>
      <c r="I5" s="1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13"/>
      <c r="C6" s="10"/>
      <c r="D6" s="13"/>
      <c r="E6" s="1"/>
      <c r="F6" s="12"/>
      <c r="G6" s="1"/>
      <c r="H6" s="1"/>
      <c r="I6" s="1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7"/>
      <c r="B7" s="13"/>
      <c r="C7" s="10"/>
      <c r="D7" s="13"/>
      <c r="E7" s="1"/>
      <c r="F7" s="12"/>
      <c r="G7" s="1"/>
      <c r="H7" s="1"/>
      <c r="I7" s="1"/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7"/>
      <c r="B8" s="13"/>
      <c r="C8" s="10"/>
      <c r="D8" s="13"/>
      <c r="E8" s="1"/>
      <c r="F8" s="12"/>
      <c r="G8" s="1"/>
      <c r="H8" s="1"/>
      <c r="I8" s="1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7"/>
      <c r="B9" s="9" t="s">
        <v>13</v>
      </c>
      <c r="C9" s="10">
        <v>1.0E7</v>
      </c>
      <c r="D9" s="11" t="s">
        <v>14</v>
      </c>
      <c r="E9" s="1"/>
      <c r="F9" s="12" t="s">
        <v>15</v>
      </c>
      <c r="G9" s="1"/>
      <c r="H9" s="1"/>
      <c r="I9" s="1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7"/>
      <c r="B10" s="9" t="s">
        <v>16</v>
      </c>
      <c r="C10" s="10">
        <v>200000.0</v>
      </c>
      <c r="D10" s="11" t="s">
        <v>14</v>
      </c>
      <c r="E10" s="1"/>
      <c r="F10" s="13" t="s">
        <v>17</v>
      </c>
      <c r="G10" s="10">
        <v>1000000.0</v>
      </c>
      <c r="H10" s="14" t="s">
        <v>18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7"/>
      <c r="B11" s="9" t="s">
        <v>19</v>
      </c>
      <c r="C11" s="10">
        <v>1000000.0</v>
      </c>
      <c r="D11" s="11" t="s">
        <v>14</v>
      </c>
      <c r="E11" s="1"/>
      <c r="F11" s="13" t="s">
        <v>20</v>
      </c>
      <c r="G11" s="10">
        <v>2000000.0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7"/>
      <c r="B12" s="9" t="s">
        <v>21</v>
      </c>
      <c r="C12" s="10">
        <v>5.0</v>
      </c>
      <c r="D12" s="11" t="s">
        <v>22</v>
      </c>
      <c r="E12" s="1"/>
      <c r="F12" s="13" t="s">
        <v>23</v>
      </c>
      <c r="G12" s="10">
        <f>3000000*(1+C5)</f>
        <v>3300000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7"/>
      <c r="B13" s="9" t="s">
        <v>24</v>
      </c>
      <c r="C13" s="10">
        <v>4000000.0</v>
      </c>
      <c r="D13" s="11" t="s">
        <v>14</v>
      </c>
      <c r="E13" s="1"/>
      <c r="F13" s="13" t="s">
        <v>25</v>
      </c>
      <c r="G13" s="10">
        <v>4000000.0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7"/>
      <c r="B14" s="9" t="s">
        <v>26</v>
      </c>
      <c r="C14" s="15">
        <v>0.22</v>
      </c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7"/>
      <c r="B15" s="9" t="s">
        <v>27</v>
      </c>
      <c r="C15" s="15">
        <v>0.2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7"/>
      <c r="B16" s="1"/>
      <c r="C16" s="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7"/>
      <c r="B17" s="1"/>
      <c r="C17" s="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7"/>
      <c r="B18" s="19"/>
      <c r="C18" s="20">
        <v>0.0</v>
      </c>
      <c r="D18" s="21">
        <v>1.0</v>
      </c>
      <c r="E18" s="21">
        <v>2.0</v>
      </c>
      <c r="F18" s="21">
        <v>3.0</v>
      </c>
      <c r="G18" s="21">
        <v>4.0</v>
      </c>
      <c r="H18" s="21">
        <v>5.0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7"/>
      <c r="B19" s="9" t="s">
        <v>28</v>
      </c>
      <c r="C19" s="22"/>
      <c r="D19" s="22">
        <f t="shared" ref="D19:H19" si="1">(1+$C$3)*$C$13</f>
        <v>4000000</v>
      </c>
      <c r="E19" s="22">
        <f t="shared" si="1"/>
        <v>4000000</v>
      </c>
      <c r="F19" s="22">
        <f t="shared" si="1"/>
        <v>4000000</v>
      </c>
      <c r="G19" s="22">
        <f t="shared" si="1"/>
        <v>4000000</v>
      </c>
      <c r="H19" s="22">
        <f t="shared" si="1"/>
        <v>4000000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7"/>
      <c r="B20" s="23" t="s">
        <v>29</v>
      </c>
      <c r="C20" s="24"/>
      <c r="D20" s="24">
        <f t="shared" ref="D20:H20" si="2">-$C$9/$C$12</f>
        <v>-2000000</v>
      </c>
      <c r="E20" s="24">
        <f t="shared" si="2"/>
        <v>-2000000</v>
      </c>
      <c r="F20" s="24">
        <f t="shared" si="2"/>
        <v>-2000000</v>
      </c>
      <c r="G20" s="24">
        <f t="shared" si="2"/>
        <v>-2000000</v>
      </c>
      <c r="H20" s="24">
        <f t="shared" si="2"/>
        <v>-2000000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7"/>
      <c r="B21" s="9" t="s">
        <v>30</v>
      </c>
      <c r="C21" s="22"/>
      <c r="D21" s="22">
        <f t="shared" ref="D21:H21" si="3">sum(D19:D20)</f>
        <v>2000000</v>
      </c>
      <c r="E21" s="22">
        <f t="shared" si="3"/>
        <v>2000000</v>
      </c>
      <c r="F21" s="22">
        <f t="shared" si="3"/>
        <v>2000000</v>
      </c>
      <c r="G21" s="22">
        <f t="shared" si="3"/>
        <v>2000000</v>
      </c>
      <c r="H21" s="22">
        <f t="shared" si="3"/>
        <v>2000000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7"/>
      <c r="B22" s="23" t="s">
        <v>31</v>
      </c>
      <c r="C22" s="24"/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7"/>
      <c r="B23" s="9" t="s">
        <v>32</v>
      </c>
      <c r="C23" s="22"/>
      <c r="D23" s="22">
        <f t="shared" ref="D23:H23" si="4">sum(D21:D22)</f>
        <v>2000000</v>
      </c>
      <c r="E23" s="22">
        <f t="shared" si="4"/>
        <v>2000000</v>
      </c>
      <c r="F23" s="22">
        <f t="shared" si="4"/>
        <v>2000000</v>
      </c>
      <c r="G23" s="22">
        <f t="shared" si="4"/>
        <v>2000000</v>
      </c>
      <c r="H23" s="22">
        <f t="shared" si="4"/>
        <v>2000000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7"/>
      <c r="B24" s="23" t="s">
        <v>33</v>
      </c>
      <c r="C24" s="24"/>
      <c r="D24" s="24">
        <f t="shared" ref="D24:H24" si="5">-$C$14*D23</f>
        <v>-440000</v>
      </c>
      <c r="E24" s="24">
        <f t="shared" si="5"/>
        <v>-440000</v>
      </c>
      <c r="F24" s="24">
        <f t="shared" si="5"/>
        <v>-440000</v>
      </c>
      <c r="G24" s="24">
        <f t="shared" si="5"/>
        <v>-440000</v>
      </c>
      <c r="H24" s="24">
        <f t="shared" si="5"/>
        <v>-440000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7"/>
      <c r="B25" s="9" t="s">
        <v>34</v>
      </c>
      <c r="C25" s="22"/>
      <c r="D25" s="22">
        <f t="shared" ref="D25:H25" si="6">sum(D23:D24)</f>
        <v>1560000</v>
      </c>
      <c r="E25" s="22">
        <f t="shared" si="6"/>
        <v>1560000</v>
      </c>
      <c r="F25" s="22">
        <f t="shared" si="6"/>
        <v>1560000</v>
      </c>
      <c r="G25" s="22">
        <f t="shared" si="6"/>
        <v>1560000</v>
      </c>
      <c r="H25" s="22">
        <f t="shared" si="6"/>
        <v>1560000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7"/>
      <c r="B26" s="23" t="s">
        <v>35</v>
      </c>
      <c r="C26" s="24"/>
      <c r="D26" s="24">
        <f t="shared" ref="D26:H26" si="7">-D20</f>
        <v>2000000</v>
      </c>
      <c r="E26" s="24">
        <f t="shared" si="7"/>
        <v>2000000</v>
      </c>
      <c r="F26" s="24">
        <f t="shared" si="7"/>
        <v>2000000</v>
      </c>
      <c r="G26" s="24">
        <f t="shared" si="7"/>
        <v>2000000</v>
      </c>
      <c r="H26" s="24">
        <f t="shared" si="7"/>
        <v>2000000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7"/>
      <c r="B27" s="9" t="s">
        <v>36</v>
      </c>
      <c r="C27" s="22"/>
      <c r="D27" s="22">
        <f t="shared" ref="D27:H27" si="8">sum(D25:D26)</f>
        <v>3560000</v>
      </c>
      <c r="E27" s="22">
        <f t="shared" si="8"/>
        <v>3560000</v>
      </c>
      <c r="F27" s="22">
        <f t="shared" si="8"/>
        <v>3560000</v>
      </c>
      <c r="G27" s="22">
        <f t="shared" si="8"/>
        <v>3560000</v>
      </c>
      <c r="H27" s="22">
        <f t="shared" si="8"/>
        <v>3560000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7"/>
      <c r="B28" s="23" t="s">
        <v>37</v>
      </c>
      <c r="C28" s="24"/>
      <c r="D28" s="24"/>
      <c r="E28" s="24"/>
      <c r="F28" s="24"/>
      <c r="G28" s="24"/>
      <c r="H28" s="24">
        <f>C54</f>
        <v>6640000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7"/>
      <c r="B29" s="9" t="s">
        <v>38</v>
      </c>
      <c r="C29" s="22">
        <f>C41</f>
        <v>-13156000</v>
      </c>
      <c r="D29" s="22">
        <f t="shared" ref="D29:H29" si="9">sum(D27:D28)</f>
        <v>3560000</v>
      </c>
      <c r="E29" s="22">
        <f t="shared" si="9"/>
        <v>3560000</v>
      </c>
      <c r="F29" s="22">
        <f t="shared" si="9"/>
        <v>3560000</v>
      </c>
      <c r="G29" s="22">
        <f t="shared" si="9"/>
        <v>3560000</v>
      </c>
      <c r="H29" s="22">
        <f t="shared" si="9"/>
        <v>10200000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7"/>
      <c r="B30" s="9" t="s">
        <v>39</v>
      </c>
      <c r="C30" s="25">
        <f>irr(C29:H29)</f>
        <v>0.2046476308</v>
      </c>
      <c r="D30" s="22"/>
      <c r="E30" s="22"/>
      <c r="F30" s="22"/>
      <c r="G30" s="22"/>
      <c r="H30" s="2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7"/>
      <c r="B31" s="9" t="str">
        <f>"NPV at "&amp;text(C15,"##,00%")</f>
        <v>NPV at 20%</v>
      </c>
      <c r="C31" s="22">
        <f t="array" ref="C31">npv(C15,C29:H29)</f>
        <v>132538.5802</v>
      </c>
      <c r="D31" s="8"/>
      <c r="E31" s="8"/>
      <c r="F31" s="8"/>
      <c r="G31" s="8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7"/>
      <c r="B32" s="1"/>
      <c r="C32" s="8"/>
      <c r="D32" s="8"/>
      <c r="E32" s="8"/>
      <c r="F32" s="8"/>
      <c r="G32" s="8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7"/>
      <c r="B33" s="1"/>
      <c r="C33" s="8"/>
      <c r="D33" s="8"/>
      <c r="E33" s="8"/>
      <c r="F33" s="8"/>
      <c r="G33" s="8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7"/>
      <c r="B34" s="27" t="s">
        <v>46</v>
      </c>
      <c r="C34" s="2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29" t="s">
        <v>47</v>
      </c>
      <c r="B35" s="11" t="s">
        <v>48</v>
      </c>
      <c r="C35" s="30">
        <v>0.0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29" t="s">
        <v>47</v>
      </c>
      <c r="B36" s="11" t="s">
        <v>13</v>
      </c>
      <c r="C36" s="28">
        <f t="shared" ref="C36:C37" si="10">-C9</f>
        <v>-10000000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29" t="s">
        <v>47</v>
      </c>
      <c r="B37" s="11" t="s">
        <v>16</v>
      </c>
      <c r="C37" s="28">
        <f t="shared" si="10"/>
        <v>-200000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29" t="s">
        <v>47</v>
      </c>
      <c r="B38" s="11" t="s">
        <v>49</v>
      </c>
      <c r="C38" s="28">
        <f>-C14*C37</f>
        <v>44000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29" t="s">
        <v>47</v>
      </c>
      <c r="B39" s="11" t="s">
        <v>19</v>
      </c>
      <c r="C39" s="28">
        <f>-C11</f>
        <v>-1000000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29" t="s">
        <v>47</v>
      </c>
      <c r="B40" s="31" t="s">
        <v>50</v>
      </c>
      <c r="C40" s="32">
        <f>-G11</f>
        <v>-2000000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7"/>
      <c r="B41" s="11" t="s">
        <v>51</v>
      </c>
      <c r="C41" s="28">
        <f>sum(C35:C40)</f>
        <v>-13156000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7"/>
      <c r="B42" s="1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7"/>
      <c r="B43" s="1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7"/>
      <c r="B44" s="27" t="s">
        <v>52</v>
      </c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7"/>
      <c r="B45" s="11" t="s">
        <v>53</v>
      </c>
      <c r="C45" s="28">
        <f>C9</f>
        <v>10000000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7"/>
      <c r="B46" s="11" t="s">
        <v>54</v>
      </c>
      <c r="C46" s="28">
        <f>-C9/C12*5</f>
        <v>-10000000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7"/>
      <c r="B47" s="31" t="s">
        <v>55</v>
      </c>
      <c r="C47" s="32">
        <f>sum(C45:C46)</f>
        <v>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7"/>
      <c r="B48" s="31" t="s">
        <v>56</v>
      </c>
      <c r="C48" s="34">
        <v>3000000.0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7"/>
      <c r="B49" s="11" t="s">
        <v>57</v>
      </c>
      <c r="C49" s="28">
        <f>C48-C47</f>
        <v>3000000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7"/>
      <c r="B50" s="31" t="s">
        <v>58</v>
      </c>
      <c r="C50" s="32">
        <f>-C14*C49</f>
        <v>-660000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7"/>
      <c r="B51" s="11" t="s">
        <v>59</v>
      </c>
      <c r="C51" s="28">
        <f>sum(C49:C50)</f>
        <v>2340000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7"/>
      <c r="B52" s="11" t="s">
        <v>60</v>
      </c>
      <c r="C52" s="30">
        <f>C11</f>
        <v>1000000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7"/>
      <c r="B53" s="31" t="s">
        <v>61</v>
      </c>
      <c r="C53" s="32">
        <f>G12</f>
        <v>3300000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7"/>
      <c r="B54" s="11" t="s">
        <v>62</v>
      </c>
      <c r="C54" s="28">
        <f>sum(C51:C53)</f>
        <v>6640000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7"/>
      <c r="B55" s="1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7"/>
      <c r="B56" s="1"/>
      <c r="C56" s="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7"/>
      <c r="B57" s="1"/>
      <c r="C57" s="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7"/>
      <c r="B58" s="1"/>
      <c r="C58" s="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7"/>
      <c r="B59" s="1"/>
      <c r="C59" s="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7"/>
      <c r="B60" s="1"/>
      <c r="C60" s="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7"/>
      <c r="B61" s="1"/>
      <c r="C61" s="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7"/>
      <c r="B62" s="1"/>
      <c r="C62" s="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7"/>
      <c r="B63" s="1"/>
      <c r="C63" s="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7"/>
      <c r="B64" s="1"/>
      <c r="C64" s="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7"/>
      <c r="B65" s="1"/>
      <c r="C65" s="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7"/>
      <c r="B66" s="1"/>
      <c r="C66" s="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7"/>
      <c r="B67" s="1"/>
      <c r="C67" s="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7"/>
      <c r="B68" s="1"/>
      <c r="C68" s="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7"/>
      <c r="B69" s="1"/>
      <c r="C69" s="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7"/>
      <c r="B70" s="1"/>
      <c r="C70" s="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7"/>
      <c r="B71" s="1"/>
      <c r="C71" s="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7"/>
      <c r="B72" s="1"/>
      <c r="C72" s="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7"/>
      <c r="B73" s="1"/>
      <c r="C73" s="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7"/>
      <c r="B74" s="1"/>
      <c r="C74" s="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7"/>
      <c r="B75" s="1"/>
      <c r="C75" s="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7"/>
      <c r="B76" s="1"/>
      <c r="C76" s="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7"/>
      <c r="B77" s="1"/>
      <c r="C77" s="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7"/>
      <c r="B78" s="1"/>
      <c r="C78" s="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7"/>
      <c r="B79" s="1"/>
      <c r="C79" s="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7"/>
      <c r="B80" s="1"/>
      <c r="C80" s="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7"/>
      <c r="B81" s="1"/>
      <c r="C81" s="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7"/>
      <c r="B82" s="1"/>
      <c r="C82" s="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7"/>
      <c r="B83" s="1"/>
      <c r="C83" s="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7"/>
      <c r="B84" s="1"/>
      <c r="C84" s="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7"/>
      <c r="B85" s="1"/>
      <c r="C85" s="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7"/>
      <c r="B86" s="1"/>
      <c r="C86" s="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7"/>
      <c r="B87" s="1"/>
      <c r="C87" s="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7"/>
      <c r="B88" s="1"/>
      <c r="C88" s="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7"/>
      <c r="B89" s="1"/>
      <c r="C89" s="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7"/>
      <c r="B90" s="1"/>
      <c r="C90" s="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7"/>
      <c r="B91" s="1"/>
      <c r="C91" s="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7"/>
      <c r="B92" s="1"/>
      <c r="C92" s="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7"/>
      <c r="B93" s="1"/>
      <c r="C93" s="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7"/>
      <c r="B94" s="1"/>
      <c r="C94" s="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7"/>
      <c r="B95" s="1"/>
      <c r="C95" s="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7"/>
      <c r="B96" s="1"/>
      <c r="C96" s="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7"/>
      <c r="B97" s="1"/>
      <c r="C97" s="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7"/>
      <c r="B98" s="1"/>
      <c r="C98" s="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7"/>
      <c r="B99" s="1"/>
      <c r="C99" s="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7"/>
      <c r="B100" s="1"/>
      <c r="C100" s="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7"/>
      <c r="B101" s="1"/>
      <c r="C101" s="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7"/>
      <c r="B102" s="1"/>
      <c r="C102" s="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7"/>
      <c r="B103" s="1"/>
      <c r="C103" s="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7"/>
      <c r="B104" s="1"/>
      <c r="C104" s="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7"/>
      <c r="B105" s="1"/>
      <c r="C105" s="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7"/>
      <c r="B106" s="1"/>
      <c r="C106" s="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7"/>
      <c r="B107" s="1"/>
      <c r="C107" s="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7"/>
      <c r="B108" s="1"/>
      <c r="C108" s="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7"/>
      <c r="B109" s="1"/>
      <c r="C109" s="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7"/>
      <c r="B110" s="1"/>
      <c r="C110" s="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7"/>
      <c r="B111" s="1"/>
      <c r="C111" s="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7"/>
      <c r="B112" s="1"/>
      <c r="C112" s="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7"/>
      <c r="B113" s="1"/>
      <c r="C113" s="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7"/>
      <c r="B114" s="1"/>
      <c r="C114" s="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7"/>
      <c r="B115" s="1"/>
      <c r="C115" s="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7"/>
      <c r="B116" s="1"/>
      <c r="C116" s="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7"/>
      <c r="B117" s="1"/>
      <c r="C117" s="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7"/>
      <c r="B118" s="1"/>
      <c r="C118" s="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7"/>
      <c r="B119" s="1"/>
      <c r="C119" s="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7"/>
      <c r="B120" s="1"/>
      <c r="C120" s="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7"/>
      <c r="B121" s="1"/>
      <c r="C121" s="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7"/>
      <c r="B122" s="1"/>
      <c r="C122" s="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7"/>
      <c r="B123" s="1"/>
      <c r="C123" s="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7"/>
      <c r="B124" s="1"/>
      <c r="C124" s="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7"/>
      <c r="B125" s="1"/>
      <c r="C125" s="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7"/>
      <c r="B126" s="1"/>
      <c r="C126" s="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7"/>
      <c r="B127" s="1"/>
      <c r="C127" s="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7"/>
      <c r="B128" s="1"/>
      <c r="C128" s="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7"/>
      <c r="B129" s="1"/>
      <c r="C129" s="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7"/>
      <c r="B130" s="1"/>
      <c r="C130" s="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7"/>
      <c r="B131" s="1"/>
      <c r="C131" s="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7"/>
      <c r="B132" s="1"/>
      <c r="C132" s="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7"/>
      <c r="B133" s="1"/>
      <c r="C133" s="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7"/>
      <c r="B134" s="1"/>
      <c r="C134" s="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7"/>
      <c r="B135" s="1"/>
      <c r="C135" s="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7"/>
      <c r="B136" s="1"/>
      <c r="C136" s="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7"/>
      <c r="B137" s="1"/>
      <c r="C137" s="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7"/>
      <c r="B138" s="1"/>
      <c r="C138" s="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7"/>
      <c r="B139" s="1"/>
      <c r="C139" s="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7"/>
      <c r="B140" s="1"/>
      <c r="C140" s="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7"/>
      <c r="B141" s="1"/>
      <c r="C141" s="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7"/>
      <c r="B142" s="1"/>
      <c r="C142" s="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7"/>
      <c r="B143" s="1"/>
      <c r="C143" s="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7"/>
      <c r="B144" s="1"/>
      <c r="C144" s="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7"/>
      <c r="B145" s="1"/>
      <c r="C145" s="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7"/>
      <c r="B146" s="1"/>
      <c r="C146" s="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7"/>
      <c r="B147" s="1"/>
      <c r="C147" s="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7"/>
      <c r="B148" s="1"/>
      <c r="C148" s="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7"/>
      <c r="B149" s="1"/>
      <c r="C149" s="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7"/>
      <c r="B150" s="1"/>
      <c r="C150" s="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7"/>
      <c r="B151" s="1"/>
      <c r="C151" s="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7"/>
      <c r="B152" s="1"/>
      <c r="C152" s="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7"/>
      <c r="B153" s="1"/>
      <c r="C153" s="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7"/>
      <c r="B154" s="1"/>
      <c r="C154" s="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7"/>
      <c r="B155" s="1"/>
      <c r="C155" s="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7"/>
      <c r="B156" s="1"/>
      <c r="C156" s="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7"/>
      <c r="B157" s="1"/>
      <c r="C157" s="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7"/>
      <c r="B158" s="1"/>
      <c r="C158" s="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7"/>
      <c r="B159" s="1"/>
      <c r="C159" s="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7"/>
      <c r="B160" s="1"/>
      <c r="C160" s="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7"/>
      <c r="B161" s="1"/>
      <c r="C161" s="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7"/>
      <c r="B162" s="1"/>
      <c r="C162" s="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7"/>
      <c r="B163" s="1"/>
      <c r="C163" s="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7"/>
      <c r="B164" s="1"/>
      <c r="C164" s="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7"/>
      <c r="B165" s="1"/>
      <c r="C165" s="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7"/>
      <c r="B166" s="1"/>
      <c r="C166" s="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7"/>
      <c r="B167" s="1"/>
      <c r="C167" s="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7"/>
      <c r="B168" s="1"/>
      <c r="C168" s="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7"/>
      <c r="B169" s="1"/>
      <c r="C169" s="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7"/>
      <c r="B170" s="1"/>
      <c r="C170" s="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7"/>
      <c r="B171" s="1"/>
      <c r="C171" s="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7"/>
      <c r="B172" s="1"/>
      <c r="C172" s="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7"/>
      <c r="B173" s="1"/>
      <c r="C173" s="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7"/>
      <c r="B174" s="1"/>
      <c r="C174" s="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7"/>
      <c r="B175" s="1"/>
      <c r="C175" s="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7"/>
      <c r="B176" s="1"/>
      <c r="C176" s="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7"/>
      <c r="B177" s="1"/>
      <c r="C177" s="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7"/>
      <c r="B178" s="1"/>
      <c r="C178" s="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7"/>
      <c r="B179" s="1"/>
      <c r="C179" s="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7"/>
      <c r="B180" s="1"/>
      <c r="C180" s="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7"/>
      <c r="B181" s="1"/>
      <c r="C181" s="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7"/>
      <c r="B182" s="1"/>
      <c r="C182" s="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7"/>
      <c r="B183" s="1"/>
      <c r="C183" s="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7"/>
      <c r="B184" s="1"/>
      <c r="C184" s="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7"/>
      <c r="B185" s="1"/>
      <c r="C185" s="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7"/>
      <c r="B186" s="1"/>
      <c r="C186" s="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7"/>
      <c r="B187" s="1"/>
      <c r="C187" s="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7"/>
      <c r="B188" s="1"/>
      <c r="C188" s="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7"/>
      <c r="B189" s="1"/>
      <c r="C189" s="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7"/>
      <c r="B190" s="1"/>
      <c r="C190" s="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7"/>
      <c r="B191" s="1"/>
      <c r="C191" s="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7"/>
      <c r="B192" s="1"/>
      <c r="C192" s="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7"/>
      <c r="B193" s="1"/>
      <c r="C193" s="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7"/>
      <c r="B194" s="1"/>
      <c r="C194" s="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7"/>
      <c r="B195" s="1"/>
      <c r="C195" s="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7"/>
      <c r="B196" s="1"/>
      <c r="C196" s="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7"/>
      <c r="B197" s="1"/>
      <c r="C197" s="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7"/>
      <c r="B198" s="1"/>
      <c r="C198" s="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7"/>
      <c r="B199" s="1"/>
      <c r="C199" s="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7"/>
      <c r="B200" s="1"/>
      <c r="C200" s="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7"/>
      <c r="B201" s="1"/>
      <c r="C201" s="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7"/>
      <c r="B202" s="1"/>
      <c r="C202" s="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7"/>
      <c r="B203" s="1"/>
      <c r="C203" s="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7"/>
      <c r="B204" s="1"/>
      <c r="C204" s="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7"/>
      <c r="B205" s="1"/>
      <c r="C205" s="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7"/>
      <c r="B206" s="1"/>
      <c r="C206" s="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7"/>
      <c r="B207" s="1"/>
      <c r="C207" s="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7"/>
      <c r="B208" s="1"/>
      <c r="C208" s="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7"/>
      <c r="B209" s="1"/>
      <c r="C209" s="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7"/>
      <c r="B210" s="1"/>
      <c r="C210" s="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7"/>
      <c r="B211" s="1"/>
      <c r="C211" s="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7"/>
      <c r="B212" s="1"/>
      <c r="C212" s="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7"/>
      <c r="B213" s="1"/>
      <c r="C213" s="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7"/>
      <c r="B214" s="1"/>
      <c r="C214" s="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7"/>
      <c r="B215" s="1"/>
      <c r="C215" s="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7"/>
      <c r="B216" s="1"/>
      <c r="C216" s="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7"/>
      <c r="B217" s="1"/>
      <c r="C217" s="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7"/>
      <c r="B218" s="1"/>
      <c r="C218" s="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7"/>
      <c r="B219" s="1"/>
      <c r="C219" s="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7"/>
      <c r="B220" s="1"/>
      <c r="C220" s="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7"/>
      <c r="B221" s="1"/>
      <c r="C221" s="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7"/>
      <c r="B222" s="1"/>
      <c r="C222" s="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7"/>
      <c r="B223" s="1"/>
      <c r="C223" s="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7"/>
      <c r="B224" s="1"/>
      <c r="C224" s="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7"/>
      <c r="B225" s="1"/>
      <c r="C225" s="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7"/>
      <c r="B226" s="1"/>
      <c r="C226" s="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7"/>
      <c r="B227" s="1"/>
      <c r="C227" s="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7"/>
      <c r="B228" s="1"/>
      <c r="C228" s="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7"/>
      <c r="B229" s="1"/>
      <c r="C229" s="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7"/>
      <c r="B230" s="1"/>
      <c r="C230" s="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7"/>
      <c r="B231" s="1"/>
      <c r="C231" s="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7"/>
      <c r="B232" s="1"/>
      <c r="C232" s="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7"/>
      <c r="B233" s="1"/>
      <c r="C233" s="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7"/>
      <c r="B234" s="1"/>
      <c r="C234" s="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7"/>
      <c r="B235" s="1"/>
      <c r="C235" s="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7"/>
      <c r="B236" s="1"/>
      <c r="C236" s="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7"/>
      <c r="B237" s="1"/>
      <c r="C237" s="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7"/>
      <c r="B238" s="1"/>
      <c r="C238" s="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7"/>
      <c r="B239" s="1"/>
      <c r="C239" s="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7"/>
      <c r="B240" s="1"/>
      <c r="C240" s="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7"/>
      <c r="B241" s="1"/>
      <c r="C241" s="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7"/>
      <c r="B242" s="1"/>
      <c r="C242" s="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7"/>
      <c r="B243" s="1"/>
      <c r="C243" s="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7"/>
      <c r="B244" s="1"/>
      <c r="C244" s="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7"/>
      <c r="B245" s="1"/>
      <c r="C245" s="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7"/>
      <c r="B246" s="1"/>
      <c r="C246" s="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7"/>
      <c r="B247" s="1"/>
      <c r="C247" s="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7"/>
      <c r="B248" s="1"/>
      <c r="C248" s="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7"/>
      <c r="B249" s="1"/>
      <c r="C249" s="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7"/>
      <c r="B250" s="1"/>
      <c r="C250" s="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7"/>
      <c r="B251" s="1"/>
      <c r="C251" s="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7"/>
      <c r="B252" s="1"/>
      <c r="C252" s="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7"/>
      <c r="B253" s="1"/>
      <c r="C253" s="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7"/>
      <c r="B254" s="1"/>
      <c r="C254" s="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7"/>
      <c r="B255" s="1"/>
      <c r="C255" s="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7"/>
      <c r="B256" s="1"/>
      <c r="C256" s="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7"/>
      <c r="B257" s="1"/>
      <c r="C257" s="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7"/>
      <c r="B258" s="1"/>
      <c r="C258" s="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7"/>
      <c r="B259" s="1"/>
      <c r="C259" s="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7"/>
      <c r="B260" s="1"/>
      <c r="C260" s="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7"/>
      <c r="B261" s="1"/>
      <c r="C261" s="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7"/>
      <c r="B262" s="1"/>
      <c r="C262" s="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7"/>
      <c r="B263" s="1"/>
      <c r="C263" s="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7"/>
      <c r="B264" s="1"/>
      <c r="C264" s="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7"/>
      <c r="B265" s="1"/>
      <c r="C265" s="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7"/>
      <c r="B266" s="1"/>
      <c r="C266" s="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7"/>
      <c r="B267" s="1"/>
      <c r="C267" s="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7"/>
      <c r="B268" s="1"/>
      <c r="C268" s="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7"/>
      <c r="B269" s="1"/>
      <c r="C269" s="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7"/>
      <c r="B270" s="1"/>
      <c r="C270" s="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7"/>
      <c r="B271" s="1"/>
      <c r="C271" s="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7"/>
      <c r="B272" s="1"/>
      <c r="C272" s="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7"/>
      <c r="B273" s="1"/>
      <c r="C273" s="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7"/>
      <c r="B274" s="1"/>
      <c r="C274" s="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7"/>
      <c r="B275" s="1"/>
      <c r="C275" s="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7"/>
      <c r="B276" s="1"/>
      <c r="C276" s="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7"/>
      <c r="B277" s="1"/>
      <c r="C277" s="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7"/>
      <c r="B278" s="1"/>
      <c r="C278" s="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7"/>
      <c r="B279" s="1"/>
      <c r="C279" s="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7"/>
      <c r="B280" s="1"/>
      <c r="C280" s="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7"/>
      <c r="B281" s="1"/>
      <c r="C281" s="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7"/>
      <c r="B282" s="1"/>
      <c r="C282" s="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7"/>
      <c r="B283" s="1"/>
      <c r="C283" s="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7"/>
      <c r="B284" s="1"/>
      <c r="C284" s="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7"/>
      <c r="B285" s="1"/>
      <c r="C285" s="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7"/>
      <c r="B286" s="1"/>
      <c r="C286" s="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7"/>
      <c r="B287" s="1"/>
      <c r="C287" s="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7"/>
      <c r="B288" s="1"/>
      <c r="C288" s="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7"/>
      <c r="B289" s="1"/>
      <c r="C289" s="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7"/>
      <c r="B290" s="1"/>
      <c r="C290" s="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7"/>
      <c r="B291" s="1"/>
      <c r="C291" s="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7"/>
      <c r="B292" s="1"/>
      <c r="C292" s="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7"/>
      <c r="B293" s="1"/>
      <c r="C293" s="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7"/>
      <c r="B294" s="1"/>
      <c r="C294" s="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7"/>
      <c r="B295" s="1"/>
      <c r="C295" s="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7"/>
      <c r="B296" s="1"/>
      <c r="C296" s="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7"/>
      <c r="B297" s="1"/>
      <c r="C297" s="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7"/>
      <c r="B298" s="1"/>
      <c r="C298" s="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7"/>
      <c r="B299" s="1"/>
      <c r="C299" s="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7"/>
      <c r="B300" s="1"/>
      <c r="C300" s="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7"/>
      <c r="B301" s="1"/>
      <c r="C301" s="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7"/>
      <c r="B302" s="1"/>
      <c r="C302" s="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7"/>
      <c r="B303" s="1"/>
      <c r="C303" s="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7"/>
      <c r="B304" s="1"/>
      <c r="C304" s="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7"/>
      <c r="B305" s="1"/>
      <c r="C305" s="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7"/>
      <c r="B306" s="1"/>
      <c r="C306" s="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7"/>
      <c r="B307" s="1"/>
      <c r="C307" s="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7"/>
      <c r="B308" s="1"/>
      <c r="C308" s="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7"/>
      <c r="B309" s="1"/>
      <c r="C309" s="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7"/>
      <c r="B310" s="1"/>
      <c r="C310" s="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7"/>
      <c r="B311" s="1"/>
      <c r="C311" s="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7"/>
      <c r="B312" s="1"/>
      <c r="C312" s="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7"/>
      <c r="B313" s="1"/>
      <c r="C313" s="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7"/>
      <c r="B314" s="1"/>
      <c r="C314" s="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7"/>
      <c r="B315" s="1"/>
      <c r="C315" s="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7"/>
      <c r="B316" s="1"/>
      <c r="C316" s="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7"/>
      <c r="B317" s="1"/>
      <c r="C317" s="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7"/>
      <c r="B318" s="1"/>
      <c r="C318" s="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7"/>
      <c r="B319" s="1"/>
      <c r="C319" s="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7"/>
      <c r="B320" s="1"/>
      <c r="C320" s="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7"/>
      <c r="B321" s="1"/>
      <c r="C321" s="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7"/>
      <c r="B322" s="1"/>
      <c r="C322" s="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7"/>
      <c r="B323" s="1"/>
      <c r="C323" s="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7"/>
      <c r="B324" s="1"/>
      <c r="C324" s="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7"/>
      <c r="B325" s="1"/>
      <c r="C325" s="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7"/>
      <c r="B326" s="1"/>
      <c r="C326" s="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7"/>
      <c r="B327" s="1"/>
      <c r="C327" s="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7"/>
      <c r="B328" s="1"/>
      <c r="C328" s="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7"/>
      <c r="B329" s="1"/>
      <c r="C329" s="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7"/>
      <c r="B330" s="1"/>
      <c r="C330" s="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7"/>
      <c r="B331" s="1"/>
      <c r="C331" s="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7"/>
      <c r="B332" s="1"/>
      <c r="C332" s="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7"/>
      <c r="B333" s="1"/>
      <c r="C333" s="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7"/>
      <c r="B334" s="1"/>
      <c r="C334" s="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7"/>
      <c r="B335" s="1"/>
      <c r="C335" s="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7"/>
      <c r="B336" s="1"/>
      <c r="C336" s="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7"/>
      <c r="B337" s="1"/>
      <c r="C337" s="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7"/>
      <c r="B338" s="1"/>
      <c r="C338" s="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7"/>
      <c r="B339" s="1"/>
      <c r="C339" s="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7"/>
      <c r="B340" s="1"/>
      <c r="C340" s="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7"/>
      <c r="B341" s="1"/>
      <c r="C341" s="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7"/>
      <c r="B342" s="1"/>
      <c r="C342" s="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7"/>
      <c r="B343" s="1"/>
      <c r="C343" s="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7"/>
      <c r="B344" s="1"/>
      <c r="C344" s="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7"/>
      <c r="B345" s="1"/>
      <c r="C345" s="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7"/>
      <c r="B346" s="1"/>
      <c r="C346" s="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7"/>
      <c r="B347" s="1"/>
      <c r="C347" s="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7"/>
      <c r="B348" s="1"/>
      <c r="C348" s="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7"/>
      <c r="B349" s="1"/>
      <c r="C349" s="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7"/>
      <c r="B350" s="1"/>
      <c r="C350" s="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7"/>
      <c r="B351" s="1"/>
      <c r="C351" s="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7"/>
      <c r="B352" s="1"/>
      <c r="C352" s="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7"/>
      <c r="B353" s="1"/>
      <c r="C353" s="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7"/>
      <c r="B354" s="1"/>
      <c r="C354" s="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7"/>
      <c r="B355" s="1"/>
      <c r="C355" s="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7"/>
      <c r="B356" s="1"/>
      <c r="C356" s="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7"/>
      <c r="B357" s="1"/>
      <c r="C357" s="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7"/>
      <c r="B358" s="1"/>
      <c r="C358" s="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7"/>
      <c r="B359" s="1"/>
      <c r="C359" s="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7"/>
      <c r="B360" s="1"/>
      <c r="C360" s="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7"/>
      <c r="B361" s="1"/>
      <c r="C361" s="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7"/>
      <c r="B362" s="1"/>
      <c r="C362" s="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7"/>
      <c r="B363" s="1"/>
      <c r="C363" s="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7"/>
      <c r="B364" s="1"/>
      <c r="C364" s="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7"/>
      <c r="B365" s="1"/>
      <c r="C365" s="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7"/>
      <c r="B366" s="1"/>
      <c r="C366" s="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7"/>
      <c r="B367" s="1"/>
      <c r="C367" s="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7"/>
      <c r="B368" s="1"/>
      <c r="C368" s="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7"/>
      <c r="B369" s="1"/>
      <c r="C369" s="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7"/>
      <c r="B370" s="1"/>
      <c r="C370" s="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7"/>
      <c r="B371" s="1"/>
      <c r="C371" s="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7"/>
      <c r="B372" s="1"/>
      <c r="C372" s="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7"/>
      <c r="B373" s="1"/>
      <c r="C373" s="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7"/>
      <c r="B374" s="1"/>
      <c r="C374" s="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7"/>
      <c r="B375" s="1"/>
      <c r="C375" s="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7"/>
      <c r="B376" s="1"/>
      <c r="C376" s="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7"/>
      <c r="B377" s="1"/>
      <c r="C377" s="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7"/>
      <c r="B378" s="1"/>
      <c r="C378" s="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7"/>
      <c r="B379" s="1"/>
      <c r="C379" s="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7"/>
      <c r="B380" s="1"/>
      <c r="C380" s="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7"/>
      <c r="B381" s="1"/>
      <c r="C381" s="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7"/>
      <c r="B382" s="1"/>
      <c r="C382" s="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7"/>
      <c r="B383" s="1"/>
      <c r="C383" s="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7"/>
      <c r="B384" s="1"/>
      <c r="C384" s="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7"/>
      <c r="B385" s="1"/>
      <c r="C385" s="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7"/>
      <c r="B386" s="1"/>
      <c r="C386" s="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7"/>
      <c r="B387" s="1"/>
      <c r="C387" s="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7"/>
      <c r="B388" s="1"/>
      <c r="C388" s="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7"/>
      <c r="B389" s="1"/>
      <c r="C389" s="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7"/>
      <c r="B390" s="1"/>
      <c r="C390" s="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7"/>
      <c r="B391" s="1"/>
      <c r="C391" s="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7"/>
      <c r="B392" s="1"/>
      <c r="C392" s="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7"/>
      <c r="B393" s="1"/>
      <c r="C393" s="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7"/>
      <c r="B394" s="1"/>
      <c r="C394" s="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7"/>
      <c r="B395" s="1"/>
      <c r="C395" s="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7"/>
      <c r="B396" s="1"/>
      <c r="C396" s="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7"/>
      <c r="B397" s="1"/>
      <c r="C397" s="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7"/>
      <c r="B398" s="1"/>
      <c r="C398" s="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7"/>
      <c r="B399" s="1"/>
      <c r="C399" s="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7"/>
      <c r="B400" s="1"/>
      <c r="C400" s="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7"/>
      <c r="B401" s="1"/>
      <c r="C401" s="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7"/>
      <c r="B402" s="1"/>
      <c r="C402" s="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7"/>
      <c r="B403" s="1"/>
      <c r="C403" s="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7"/>
      <c r="B404" s="1"/>
      <c r="C404" s="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7"/>
      <c r="B405" s="1"/>
      <c r="C405" s="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7"/>
      <c r="B406" s="1"/>
      <c r="C406" s="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7"/>
      <c r="B407" s="1"/>
      <c r="C407" s="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7"/>
      <c r="B408" s="1"/>
      <c r="C408" s="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7"/>
      <c r="B409" s="1"/>
      <c r="C409" s="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7"/>
      <c r="B410" s="1"/>
      <c r="C410" s="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7"/>
      <c r="B411" s="1"/>
      <c r="C411" s="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7"/>
      <c r="B412" s="1"/>
      <c r="C412" s="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7"/>
      <c r="B413" s="1"/>
      <c r="C413" s="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7"/>
      <c r="B414" s="1"/>
      <c r="C414" s="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7"/>
      <c r="B415" s="1"/>
      <c r="C415" s="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7"/>
      <c r="B416" s="1"/>
      <c r="C416" s="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7"/>
      <c r="B417" s="1"/>
      <c r="C417" s="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7"/>
      <c r="B418" s="1"/>
      <c r="C418" s="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7"/>
      <c r="B419" s="1"/>
      <c r="C419" s="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7"/>
      <c r="B420" s="1"/>
      <c r="C420" s="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7"/>
      <c r="B421" s="1"/>
      <c r="C421" s="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7"/>
      <c r="B422" s="1"/>
      <c r="C422" s="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7"/>
      <c r="B423" s="1"/>
      <c r="C423" s="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7"/>
      <c r="B424" s="1"/>
      <c r="C424" s="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7"/>
      <c r="B425" s="1"/>
      <c r="C425" s="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7"/>
      <c r="B426" s="1"/>
      <c r="C426" s="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7"/>
      <c r="B427" s="1"/>
      <c r="C427" s="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7"/>
      <c r="B428" s="1"/>
      <c r="C428" s="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7"/>
      <c r="B429" s="1"/>
      <c r="C429" s="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7"/>
      <c r="B430" s="1"/>
      <c r="C430" s="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7"/>
      <c r="B431" s="1"/>
      <c r="C431" s="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7"/>
      <c r="B432" s="1"/>
      <c r="C432" s="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7"/>
      <c r="B433" s="1"/>
      <c r="C433" s="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7"/>
      <c r="B434" s="1"/>
      <c r="C434" s="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7"/>
      <c r="B435" s="1"/>
      <c r="C435" s="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7"/>
      <c r="B436" s="1"/>
      <c r="C436" s="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7"/>
      <c r="B437" s="1"/>
      <c r="C437" s="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7"/>
      <c r="B438" s="1"/>
      <c r="C438" s="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7"/>
      <c r="B439" s="1"/>
      <c r="C439" s="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7"/>
      <c r="B440" s="1"/>
      <c r="C440" s="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7"/>
      <c r="B441" s="1"/>
      <c r="C441" s="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7"/>
      <c r="B442" s="1"/>
      <c r="C442" s="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7"/>
      <c r="B443" s="1"/>
      <c r="C443" s="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7"/>
      <c r="B444" s="1"/>
      <c r="C444" s="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7"/>
      <c r="B445" s="1"/>
      <c r="C445" s="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7"/>
      <c r="B446" s="1"/>
      <c r="C446" s="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7"/>
      <c r="B447" s="1"/>
      <c r="C447" s="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7"/>
      <c r="B448" s="1"/>
      <c r="C448" s="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7"/>
      <c r="B449" s="1"/>
      <c r="C449" s="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7"/>
      <c r="B450" s="1"/>
      <c r="C450" s="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7"/>
      <c r="B451" s="1"/>
      <c r="C451" s="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7"/>
      <c r="B452" s="1"/>
      <c r="C452" s="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7"/>
      <c r="B453" s="1"/>
      <c r="C453" s="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7"/>
      <c r="B454" s="1"/>
      <c r="C454" s="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7"/>
      <c r="B455" s="1"/>
      <c r="C455" s="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7"/>
      <c r="B456" s="1"/>
      <c r="C456" s="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7"/>
      <c r="B457" s="1"/>
      <c r="C457" s="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7"/>
      <c r="B458" s="1"/>
      <c r="C458" s="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7"/>
      <c r="B459" s="1"/>
      <c r="C459" s="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7"/>
      <c r="B460" s="1"/>
      <c r="C460" s="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7"/>
      <c r="B461" s="1"/>
      <c r="C461" s="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7"/>
      <c r="B462" s="1"/>
      <c r="C462" s="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7"/>
      <c r="B463" s="1"/>
      <c r="C463" s="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7"/>
      <c r="B464" s="1"/>
      <c r="C464" s="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7"/>
      <c r="B465" s="1"/>
      <c r="C465" s="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7"/>
      <c r="B466" s="1"/>
      <c r="C466" s="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7"/>
      <c r="B467" s="1"/>
      <c r="C467" s="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7"/>
      <c r="B468" s="1"/>
      <c r="C468" s="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7"/>
      <c r="B469" s="1"/>
      <c r="C469" s="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7"/>
      <c r="B470" s="1"/>
      <c r="C470" s="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7"/>
      <c r="B471" s="1"/>
      <c r="C471" s="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7"/>
      <c r="B472" s="1"/>
      <c r="C472" s="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7"/>
      <c r="B473" s="1"/>
      <c r="C473" s="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7"/>
      <c r="B474" s="1"/>
      <c r="C474" s="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7"/>
      <c r="B475" s="1"/>
      <c r="C475" s="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7"/>
      <c r="B476" s="1"/>
      <c r="C476" s="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7"/>
      <c r="B477" s="1"/>
      <c r="C477" s="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7"/>
      <c r="B478" s="1"/>
      <c r="C478" s="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7"/>
      <c r="B479" s="1"/>
      <c r="C479" s="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7"/>
      <c r="B480" s="1"/>
      <c r="C480" s="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7"/>
      <c r="B481" s="1"/>
      <c r="C481" s="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7"/>
      <c r="B482" s="1"/>
      <c r="C482" s="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7"/>
      <c r="B483" s="1"/>
      <c r="C483" s="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7"/>
      <c r="B484" s="1"/>
      <c r="C484" s="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7"/>
      <c r="B485" s="1"/>
      <c r="C485" s="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7"/>
      <c r="B486" s="1"/>
      <c r="C486" s="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7"/>
      <c r="B487" s="1"/>
      <c r="C487" s="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7"/>
      <c r="B488" s="1"/>
      <c r="C488" s="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7"/>
      <c r="B489" s="1"/>
      <c r="C489" s="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7"/>
      <c r="B490" s="1"/>
      <c r="C490" s="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7"/>
      <c r="B491" s="1"/>
      <c r="C491" s="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7"/>
      <c r="B492" s="1"/>
      <c r="C492" s="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7"/>
      <c r="B493" s="1"/>
      <c r="C493" s="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7"/>
      <c r="B494" s="1"/>
      <c r="C494" s="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7"/>
      <c r="B495" s="1"/>
      <c r="C495" s="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7"/>
      <c r="B496" s="1"/>
      <c r="C496" s="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7"/>
      <c r="B497" s="1"/>
      <c r="C497" s="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7"/>
      <c r="B498" s="1"/>
      <c r="C498" s="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7"/>
      <c r="B499" s="1"/>
      <c r="C499" s="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7"/>
      <c r="B500" s="1"/>
      <c r="C500" s="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7"/>
      <c r="B501" s="1"/>
      <c r="C501" s="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7"/>
      <c r="B502" s="1"/>
      <c r="C502" s="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7"/>
      <c r="B503" s="1"/>
      <c r="C503" s="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7"/>
      <c r="B504" s="1"/>
      <c r="C504" s="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7"/>
      <c r="B505" s="1"/>
      <c r="C505" s="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7"/>
      <c r="B506" s="1"/>
      <c r="C506" s="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7"/>
      <c r="B507" s="1"/>
      <c r="C507" s="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7"/>
      <c r="B508" s="1"/>
      <c r="C508" s="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7"/>
      <c r="B509" s="1"/>
      <c r="C509" s="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7"/>
      <c r="B510" s="1"/>
      <c r="C510" s="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7"/>
      <c r="B511" s="1"/>
      <c r="C511" s="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7"/>
      <c r="B512" s="1"/>
      <c r="C512" s="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7"/>
      <c r="B513" s="1"/>
      <c r="C513" s="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7"/>
      <c r="B514" s="1"/>
      <c r="C514" s="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7"/>
      <c r="B515" s="1"/>
      <c r="C515" s="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7"/>
      <c r="B516" s="1"/>
      <c r="C516" s="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7"/>
      <c r="B517" s="1"/>
      <c r="C517" s="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7"/>
      <c r="B518" s="1"/>
      <c r="C518" s="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7"/>
      <c r="B519" s="1"/>
      <c r="C519" s="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7"/>
      <c r="B520" s="1"/>
      <c r="C520" s="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7"/>
      <c r="B521" s="1"/>
      <c r="C521" s="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7"/>
      <c r="B522" s="1"/>
      <c r="C522" s="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7"/>
      <c r="B523" s="1"/>
      <c r="C523" s="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7"/>
      <c r="B524" s="1"/>
      <c r="C524" s="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7"/>
      <c r="B525" s="1"/>
      <c r="C525" s="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7"/>
      <c r="B526" s="1"/>
      <c r="C526" s="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7"/>
      <c r="B527" s="1"/>
      <c r="C527" s="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7"/>
      <c r="B528" s="1"/>
      <c r="C528" s="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7"/>
      <c r="B529" s="1"/>
      <c r="C529" s="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7"/>
      <c r="B530" s="1"/>
      <c r="C530" s="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7"/>
      <c r="B531" s="1"/>
      <c r="C531" s="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7"/>
      <c r="B532" s="1"/>
      <c r="C532" s="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7"/>
      <c r="B533" s="1"/>
      <c r="C533" s="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7"/>
      <c r="B534" s="1"/>
      <c r="C534" s="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7"/>
      <c r="B535" s="1"/>
      <c r="C535" s="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7"/>
      <c r="B536" s="1"/>
      <c r="C536" s="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7"/>
      <c r="B537" s="1"/>
      <c r="C537" s="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7"/>
      <c r="B538" s="1"/>
      <c r="C538" s="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7"/>
      <c r="B539" s="1"/>
      <c r="C539" s="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7"/>
      <c r="B540" s="1"/>
      <c r="C540" s="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7"/>
      <c r="B541" s="1"/>
      <c r="C541" s="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7"/>
      <c r="B542" s="1"/>
      <c r="C542" s="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7"/>
      <c r="B543" s="1"/>
      <c r="C543" s="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7"/>
      <c r="B544" s="1"/>
      <c r="C544" s="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7"/>
      <c r="B545" s="1"/>
      <c r="C545" s="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7"/>
      <c r="B546" s="1"/>
      <c r="C546" s="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7"/>
      <c r="B547" s="1"/>
      <c r="C547" s="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7"/>
      <c r="B548" s="1"/>
      <c r="C548" s="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7"/>
      <c r="B549" s="1"/>
      <c r="C549" s="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7"/>
      <c r="B550" s="1"/>
      <c r="C550" s="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7"/>
      <c r="B551" s="1"/>
      <c r="C551" s="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7"/>
      <c r="B552" s="1"/>
      <c r="C552" s="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7"/>
      <c r="B553" s="1"/>
      <c r="C553" s="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7"/>
      <c r="B554" s="1"/>
      <c r="C554" s="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7"/>
      <c r="B555" s="1"/>
      <c r="C555" s="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7"/>
      <c r="B556" s="1"/>
      <c r="C556" s="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7"/>
      <c r="B557" s="1"/>
      <c r="C557" s="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7"/>
      <c r="B558" s="1"/>
      <c r="C558" s="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7"/>
      <c r="B559" s="1"/>
      <c r="C559" s="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7"/>
      <c r="B560" s="1"/>
      <c r="C560" s="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7"/>
      <c r="B561" s="1"/>
      <c r="C561" s="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7"/>
      <c r="B562" s="1"/>
      <c r="C562" s="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7"/>
      <c r="B563" s="1"/>
      <c r="C563" s="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7"/>
      <c r="B564" s="1"/>
      <c r="C564" s="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7"/>
      <c r="B565" s="1"/>
      <c r="C565" s="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7"/>
      <c r="B566" s="1"/>
      <c r="C566" s="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7"/>
      <c r="B567" s="1"/>
      <c r="C567" s="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7"/>
      <c r="B568" s="1"/>
      <c r="C568" s="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7"/>
      <c r="B569" s="1"/>
      <c r="C569" s="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7"/>
      <c r="B570" s="1"/>
      <c r="C570" s="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7"/>
      <c r="B571" s="1"/>
      <c r="C571" s="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7"/>
      <c r="B572" s="1"/>
      <c r="C572" s="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7"/>
      <c r="B573" s="1"/>
      <c r="C573" s="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7"/>
      <c r="B574" s="1"/>
      <c r="C574" s="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7"/>
      <c r="B575" s="1"/>
      <c r="C575" s="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7"/>
      <c r="B576" s="1"/>
      <c r="C576" s="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7"/>
      <c r="B577" s="1"/>
      <c r="C577" s="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7"/>
      <c r="B578" s="1"/>
      <c r="C578" s="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7"/>
      <c r="B579" s="1"/>
      <c r="C579" s="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7"/>
      <c r="B580" s="1"/>
      <c r="C580" s="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7"/>
      <c r="B581" s="1"/>
      <c r="C581" s="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7"/>
      <c r="B582" s="1"/>
      <c r="C582" s="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7"/>
      <c r="B583" s="1"/>
      <c r="C583" s="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7"/>
      <c r="B584" s="1"/>
      <c r="C584" s="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7"/>
      <c r="B585" s="1"/>
      <c r="C585" s="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7"/>
      <c r="B586" s="1"/>
      <c r="C586" s="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7"/>
      <c r="B587" s="1"/>
      <c r="C587" s="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7"/>
      <c r="B588" s="1"/>
      <c r="C588" s="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7"/>
      <c r="B589" s="1"/>
      <c r="C589" s="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7"/>
      <c r="B590" s="1"/>
      <c r="C590" s="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7"/>
      <c r="B591" s="1"/>
      <c r="C591" s="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7"/>
      <c r="B592" s="1"/>
      <c r="C592" s="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7"/>
      <c r="B593" s="1"/>
      <c r="C593" s="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7"/>
      <c r="B594" s="1"/>
      <c r="C594" s="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7"/>
      <c r="B595" s="1"/>
      <c r="C595" s="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7"/>
      <c r="B596" s="1"/>
      <c r="C596" s="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7"/>
      <c r="B597" s="1"/>
      <c r="C597" s="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7"/>
      <c r="B598" s="1"/>
      <c r="C598" s="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7"/>
      <c r="B599" s="1"/>
      <c r="C599" s="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7"/>
      <c r="B600" s="1"/>
      <c r="C600" s="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7"/>
      <c r="B601" s="1"/>
      <c r="C601" s="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7"/>
      <c r="B602" s="1"/>
      <c r="C602" s="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7"/>
      <c r="B603" s="1"/>
      <c r="C603" s="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7"/>
      <c r="B604" s="1"/>
      <c r="C604" s="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7"/>
      <c r="B605" s="1"/>
      <c r="C605" s="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7"/>
      <c r="B606" s="1"/>
      <c r="C606" s="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7"/>
      <c r="B607" s="1"/>
      <c r="C607" s="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7"/>
      <c r="B608" s="1"/>
      <c r="C608" s="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7"/>
      <c r="B609" s="1"/>
      <c r="C609" s="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7"/>
      <c r="B610" s="1"/>
      <c r="C610" s="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7"/>
      <c r="B611" s="1"/>
      <c r="C611" s="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7"/>
      <c r="B612" s="1"/>
      <c r="C612" s="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7"/>
      <c r="B613" s="1"/>
      <c r="C613" s="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7"/>
      <c r="B614" s="1"/>
      <c r="C614" s="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7"/>
      <c r="B615" s="1"/>
      <c r="C615" s="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7"/>
      <c r="B616" s="1"/>
      <c r="C616" s="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7"/>
      <c r="B617" s="1"/>
      <c r="C617" s="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7"/>
      <c r="B618" s="1"/>
      <c r="C618" s="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7"/>
      <c r="B619" s="1"/>
      <c r="C619" s="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7"/>
      <c r="B620" s="1"/>
      <c r="C620" s="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7"/>
      <c r="B621" s="1"/>
      <c r="C621" s="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7"/>
      <c r="B622" s="1"/>
      <c r="C622" s="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7"/>
      <c r="B623" s="1"/>
      <c r="C623" s="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7"/>
      <c r="B624" s="1"/>
      <c r="C624" s="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7"/>
      <c r="B625" s="1"/>
      <c r="C625" s="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7"/>
      <c r="B626" s="1"/>
      <c r="C626" s="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7"/>
      <c r="B627" s="1"/>
      <c r="C627" s="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7"/>
      <c r="B628" s="1"/>
      <c r="C628" s="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7"/>
      <c r="B629" s="1"/>
      <c r="C629" s="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7"/>
      <c r="B630" s="1"/>
      <c r="C630" s="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7"/>
      <c r="B631" s="1"/>
      <c r="C631" s="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7"/>
      <c r="B632" s="1"/>
      <c r="C632" s="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7"/>
      <c r="B633" s="1"/>
      <c r="C633" s="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7"/>
      <c r="B634" s="1"/>
      <c r="C634" s="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7"/>
      <c r="B635" s="1"/>
      <c r="C635" s="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7"/>
      <c r="B636" s="1"/>
      <c r="C636" s="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7"/>
      <c r="B637" s="1"/>
      <c r="C637" s="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7"/>
      <c r="B638" s="1"/>
      <c r="C638" s="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7"/>
      <c r="B639" s="1"/>
      <c r="C639" s="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7"/>
      <c r="B640" s="1"/>
      <c r="C640" s="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7"/>
      <c r="B641" s="1"/>
      <c r="C641" s="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7"/>
      <c r="B642" s="1"/>
      <c r="C642" s="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7"/>
      <c r="B643" s="1"/>
      <c r="C643" s="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7"/>
      <c r="B644" s="1"/>
      <c r="C644" s="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7"/>
      <c r="B645" s="1"/>
      <c r="C645" s="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7"/>
      <c r="B646" s="1"/>
      <c r="C646" s="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7"/>
      <c r="B647" s="1"/>
      <c r="C647" s="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7"/>
      <c r="B648" s="1"/>
      <c r="C648" s="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7"/>
      <c r="B649" s="1"/>
      <c r="C649" s="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7"/>
      <c r="B650" s="1"/>
      <c r="C650" s="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7"/>
      <c r="B651" s="1"/>
      <c r="C651" s="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7"/>
      <c r="B652" s="1"/>
      <c r="C652" s="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7"/>
      <c r="B653" s="1"/>
      <c r="C653" s="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7"/>
      <c r="B654" s="1"/>
      <c r="C654" s="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7"/>
      <c r="B655" s="1"/>
      <c r="C655" s="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7"/>
      <c r="B656" s="1"/>
      <c r="C656" s="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7"/>
      <c r="B657" s="1"/>
      <c r="C657" s="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7"/>
      <c r="B658" s="1"/>
      <c r="C658" s="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7"/>
      <c r="B659" s="1"/>
      <c r="C659" s="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7"/>
      <c r="B660" s="1"/>
      <c r="C660" s="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7"/>
      <c r="B661" s="1"/>
      <c r="C661" s="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7"/>
      <c r="B662" s="1"/>
      <c r="C662" s="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7"/>
      <c r="B663" s="1"/>
      <c r="C663" s="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7"/>
      <c r="B664" s="1"/>
      <c r="C664" s="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7"/>
      <c r="B665" s="1"/>
      <c r="C665" s="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7"/>
      <c r="B666" s="1"/>
      <c r="C666" s="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7"/>
      <c r="B667" s="1"/>
      <c r="C667" s="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7"/>
      <c r="B668" s="1"/>
      <c r="C668" s="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7"/>
      <c r="B669" s="1"/>
      <c r="C669" s="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7"/>
      <c r="B670" s="1"/>
      <c r="C670" s="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7"/>
      <c r="B671" s="1"/>
      <c r="C671" s="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7"/>
      <c r="B672" s="1"/>
      <c r="C672" s="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7"/>
      <c r="B673" s="1"/>
      <c r="C673" s="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7"/>
      <c r="B674" s="1"/>
      <c r="C674" s="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7"/>
      <c r="B675" s="1"/>
      <c r="C675" s="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7"/>
      <c r="B676" s="1"/>
      <c r="C676" s="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7"/>
      <c r="B677" s="1"/>
      <c r="C677" s="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7"/>
      <c r="B678" s="1"/>
      <c r="C678" s="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7"/>
      <c r="B679" s="1"/>
      <c r="C679" s="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7"/>
      <c r="B680" s="1"/>
      <c r="C680" s="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7"/>
      <c r="B681" s="1"/>
      <c r="C681" s="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7"/>
      <c r="B682" s="1"/>
      <c r="C682" s="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7"/>
      <c r="B683" s="1"/>
      <c r="C683" s="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7"/>
      <c r="B684" s="1"/>
      <c r="C684" s="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7"/>
      <c r="B685" s="1"/>
      <c r="C685" s="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7"/>
      <c r="B686" s="1"/>
      <c r="C686" s="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7"/>
      <c r="B687" s="1"/>
      <c r="C687" s="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7"/>
      <c r="B688" s="1"/>
      <c r="C688" s="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7"/>
      <c r="B689" s="1"/>
      <c r="C689" s="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7"/>
      <c r="B690" s="1"/>
      <c r="C690" s="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7"/>
      <c r="B691" s="1"/>
      <c r="C691" s="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7"/>
      <c r="B692" s="1"/>
      <c r="C692" s="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7"/>
      <c r="B693" s="1"/>
      <c r="C693" s="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7"/>
      <c r="B694" s="1"/>
      <c r="C694" s="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7"/>
      <c r="B695" s="1"/>
      <c r="C695" s="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7"/>
      <c r="B696" s="1"/>
      <c r="C696" s="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7"/>
      <c r="B697" s="1"/>
      <c r="C697" s="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7"/>
      <c r="B698" s="1"/>
      <c r="C698" s="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7"/>
      <c r="B699" s="1"/>
      <c r="C699" s="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7"/>
      <c r="B700" s="1"/>
      <c r="C700" s="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7"/>
      <c r="B701" s="1"/>
      <c r="C701" s="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7"/>
      <c r="B702" s="1"/>
      <c r="C702" s="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7"/>
      <c r="B703" s="1"/>
      <c r="C703" s="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7"/>
      <c r="B704" s="1"/>
      <c r="C704" s="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7"/>
      <c r="B705" s="1"/>
      <c r="C705" s="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7"/>
      <c r="B706" s="1"/>
      <c r="C706" s="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7"/>
      <c r="B707" s="1"/>
      <c r="C707" s="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7"/>
      <c r="B708" s="1"/>
      <c r="C708" s="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7"/>
      <c r="B709" s="1"/>
      <c r="C709" s="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7"/>
      <c r="B710" s="1"/>
      <c r="C710" s="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7"/>
      <c r="B711" s="1"/>
      <c r="C711" s="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7"/>
      <c r="B712" s="1"/>
      <c r="C712" s="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7"/>
      <c r="B713" s="1"/>
      <c r="C713" s="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7"/>
      <c r="B714" s="1"/>
      <c r="C714" s="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7"/>
      <c r="B715" s="1"/>
      <c r="C715" s="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7"/>
      <c r="B716" s="1"/>
      <c r="C716" s="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7"/>
      <c r="B717" s="1"/>
      <c r="C717" s="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7"/>
      <c r="B718" s="1"/>
      <c r="C718" s="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7"/>
      <c r="B719" s="1"/>
      <c r="C719" s="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7"/>
      <c r="B720" s="1"/>
      <c r="C720" s="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7"/>
      <c r="B721" s="1"/>
      <c r="C721" s="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7"/>
      <c r="B722" s="1"/>
      <c r="C722" s="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7"/>
      <c r="B723" s="1"/>
      <c r="C723" s="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7"/>
      <c r="B724" s="1"/>
      <c r="C724" s="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7"/>
      <c r="B725" s="1"/>
      <c r="C725" s="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7"/>
      <c r="B726" s="1"/>
      <c r="C726" s="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7"/>
      <c r="B727" s="1"/>
      <c r="C727" s="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7"/>
      <c r="B728" s="1"/>
      <c r="C728" s="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7"/>
      <c r="B729" s="1"/>
      <c r="C729" s="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7"/>
      <c r="B730" s="1"/>
      <c r="C730" s="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7"/>
      <c r="B731" s="1"/>
      <c r="C731" s="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7"/>
      <c r="B732" s="1"/>
      <c r="C732" s="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7"/>
      <c r="B733" s="1"/>
      <c r="C733" s="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7"/>
      <c r="B734" s="1"/>
      <c r="C734" s="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7"/>
      <c r="B735" s="1"/>
      <c r="C735" s="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7"/>
      <c r="B736" s="1"/>
      <c r="C736" s="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7"/>
      <c r="B737" s="1"/>
      <c r="C737" s="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7"/>
      <c r="B738" s="1"/>
      <c r="C738" s="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7"/>
      <c r="B739" s="1"/>
      <c r="C739" s="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7"/>
      <c r="B740" s="1"/>
      <c r="C740" s="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7"/>
      <c r="B741" s="1"/>
      <c r="C741" s="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7"/>
      <c r="B742" s="1"/>
      <c r="C742" s="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7"/>
      <c r="B743" s="1"/>
      <c r="C743" s="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7"/>
      <c r="B744" s="1"/>
      <c r="C744" s="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7"/>
      <c r="B745" s="1"/>
      <c r="C745" s="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7"/>
      <c r="B746" s="1"/>
      <c r="C746" s="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7"/>
      <c r="B747" s="1"/>
      <c r="C747" s="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7"/>
      <c r="B748" s="1"/>
      <c r="C748" s="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7"/>
      <c r="B749" s="1"/>
      <c r="C749" s="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7"/>
      <c r="B750" s="1"/>
      <c r="C750" s="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7"/>
      <c r="B751" s="1"/>
      <c r="C751" s="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7"/>
      <c r="B752" s="1"/>
      <c r="C752" s="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7"/>
      <c r="B753" s="1"/>
      <c r="C753" s="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7"/>
      <c r="B754" s="1"/>
      <c r="C754" s="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7"/>
      <c r="B755" s="1"/>
      <c r="C755" s="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7"/>
      <c r="B756" s="1"/>
      <c r="C756" s="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7"/>
      <c r="B757" s="1"/>
      <c r="C757" s="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7"/>
      <c r="B758" s="1"/>
      <c r="C758" s="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7"/>
      <c r="B759" s="1"/>
      <c r="C759" s="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7"/>
      <c r="B760" s="1"/>
      <c r="C760" s="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7"/>
      <c r="B761" s="1"/>
      <c r="C761" s="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7"/>
      <c r="B762" s="1"/>
      <c r="C762" s="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7"/>
      <c r="B763" s="1"/>
      <c r="C763" s="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7"/>
      <c r="B764" s="1"/>
      <c r="C764" s="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7"/>
      <c r="B765" s="1"/>
      <c r="C765" s="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7"/>
      <c r="B766" s="1"/>
      <c r="C766" s="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7"/>
      <c r="B767" s="1"/>
      <c r="C767" s="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7"/>
      <c r="B768" s="1"/>
      <c r="C768" s="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7"/>
      <c r="B769" s="1"/>
      <c r="C769" s="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7"/>
      <c r="B770" s="1"/>
      <c r="C770" s="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7"/>
      <c r="B771" s="1"/>
      <c r="C771" s="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7"/>
      <c r="B772" s="1"/>
      <c r="C772" s="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7"/>
      <c r="B773" s="1"/>
      <c r="C773" s="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7"/>
      <c r="B774" s="1"/>
      <c r="C774" s="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7"/>
      <c r="B775" s="1"/>
      <c r="C775" s="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7"/>
      <c r="B776" s="1"/>
      <c r="C776" s="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7"/>
      <c r="B777" s="1"/>
      <c r="C777" s="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7"/>
      <c r="B778" s="1"/>
      <c r="C778" s="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7"/>
      <c r="B779" s="1"/>
      <c r="C779" s="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7"/>
      <c r="B780" s="1"/>
      <c r="C780" s="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7"/>
      <c r="B781" s="1"/>
      <c r="C781" s="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7"/>
      <c r="B782" s="1"/>
      <c r="C782" s="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7"/>
      <c r="B783" s="1"/>
      <c r="C783" s="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7"/>
      <c r="B784" s="1"/>
      <c r="C784" s="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7"/>
      <c r="B785" s="1"/>
      <c r="C785" s="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7"/>
      <c r="B786" s="1"/>
      <c r="C786" s="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7"/>
      <c r="B787" s="1"/>
      <c r="C787" s="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7"/>
      <c r="B788" s="1"/>
      <c r="C788" s="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7"/>
      <c r="B789" s="1"/>
      <c r="C789" s="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7"/>
      <c r="B790" s="1"/>
      <c r="C790" s="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7"/>
      <c r="B791" s="1"/>
      <c r="C791" s="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7"/>
      <c r="B792" s="1"/>
      <c r="C792" s="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7"/>
      <c r="B793" s="1"/>
      <c r="C793" s="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7"/>
      <c r="B794" s="1"/>
      <c r="C794" s="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7"/>
      <c r="B795" s="1"/>
      <c r="C795" s="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7"/>
      <c r="B796" s="1"/>
      <c r="C796" s="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7"/>
      <c r="B797" s="1"/>
      <c r="C797" s="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7"/>
      <c r="B798" s="1"/>
      <c r="C798" s="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7"/>
      <c r="B799" s="1"/>
      <c r="C799" s="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7"/>
      <c r="B800" s="1"/>
      <c r="C800" s="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7"/>
      <c r="B801" s="1"/>
      <c r="C801" s="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7"/>
      <c r="B802" s="1"/>
      <c r="C802" s="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7"/>
      <c r="B803" s="1"/>
      <c r="C803" s="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7"/>
      <c r="B804" s="1"/>
      <c r="C804" s="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7"/>
      <c r="B805" s="1"/>
      <c r="C805" s="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7"/>
      <c r="B806" s="1"/>
      <c r="C806" s="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7"/>
      <c r="B807" s="1"/>
      <c r="C807" s="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7"/>
      <c r="B808" s="1"/>
      <c r="C808" s="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7"/>
      <c r="B809" s="1"/>
      <c r="C809" s="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7"/>
      <c r="B810" s="1"/>
      <c r="C810" s="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7"/>
      <c r="B811" s="1"/>
      <c r="C811" s="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7"/>
      <c r="B812" s="1"/>
      <c r="C812" s="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7"/>
      <c r="B813" s="1"/>
      <c r="C813" s="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7"/>
      <c r="B814" s="1"/>
      <c r="C814" s="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7"/>
      <c r="B815" s="1"/>
      <c r="C815" s="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7"/>
      <c r="B816" s="1"/>
      <c r="C816" s="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7"/>
      <c r="B817" s="1"/>
      <c r="C817" s="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7"/>
      <c r="B818" s="1"/>
      <c r="C818" s="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7"/>
      <c r="B819" s="1"/>
      <c r="C819" s="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7"/>
      <c r="B820" s="1"/>
      <c r="C820" s="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7"/>
      <c r="B821" s="1"/>
      <c r="C821" s="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7"/>
      <c r="B822" s="1"/>
      <c r="C822" s="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7"/>
      <c r="B823" s="1"/>
      <c r="C823" s="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7"/>
      <c r="B824" s="1"/>
      <c r="C824" s="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7"/>
      <c r="B825" s="1"/>
      <c r="C825" s="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7"/>
      <c r="B826" s="1"/>
      <c r="C826" s="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7"/>
      <c r="B827" s="1"/>
      <c r="C827" s="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7"/>
      <c r="B828" s="1"/>
      <c r="C828" s="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7"/>
      <c r="B829" s="1"/>
      <c r="C829" s="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7"/>
      <c r="B830" s="1"/>
      <c r="C830" s="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7"/>
      <c r="B831" s="1"/>
      <c r="C831" s="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7"/>
      <c r="B832" s="1"/>
      <c r="C832" s="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7"/>
      <c r="B833" s="1"/>
      <c r="C833" s="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7"/>
      <c r="B834" s="1"/>
      <c r="C834" s="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7"/>
      <c r="B835" s="1"/>
      <c r="C835" s="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7"/>
      <c r="B836" s="1"/>
      <c r="C836" s="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7"/>
      <c r="B837" s="1"/>
      <c r="C837" s="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7"/>
      <c r="B838" s="1"/>
      <c r="C838" s="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7"/>
      <c r="B839" s="1"/>
      <c r="C839" s="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7"/>
      <c r="B840" s="1"/>
      <c r="C840" s="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7"/>
      <c r="B841" s="1"/>
      <c r="C841" s="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7"/>
      <c r="B842" s="1"/>
      <c r="C842" s="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7"/>
      <c r="B843" s="1"/>
      <c r="C843" s="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7"/>
      <c r="B844" s="1"/>
      <c r="C844" s="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7"/>
      <c r="B845" s="1"/>
      <c r="C845" s="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7"/>
      <c r="B846" s="1"/>
      <c r="C846" s="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7"/>
      <c r="B847" s="1"/>
      <c r="C847" s="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7"/>
      <c r="B848" s="1"/>
      <c r="C848" s="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7"/>
      <c r="B849" s="1"/>
      <c r="C849" s="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7"/>
      <c r="B850" s="1"/>
      <c r="C850" s="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7"/>
      <c r="B851" s="1"/>
      <c r="C851" s="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7"/>
      <c r="B852" s="1"/>
      <c r="C852" s="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7"/>
      <c r="B853" s="1"/>
      <c r="C853" s="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7"/>
      <c r="B854" s="1"/>
      <c r="C854" s="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7"/>
      <c r="B855" s="1"/>
      <c r="C855" s="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7"/>
      <c r="B856" s="1"/>
      <c r="C856" s="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7"/>
      <c r="B857" s="1"/>
      <c r="C857" s="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7"/>
      <c r="B858" s="1"/>
      <c r="C858" s="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7"/>
      <c r="B859" s="1"/>
      <c r="C859" s="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7"/>
      <c r="B860" s="1"/>
      <c r="C860" s="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7"/>
      <c r="B861" s="1"/>
      <c r="C861" s="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7"/>
      <c r="B862" s="1"/>
      <c r="C862" s="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7"/>
      <c r="B863" s="1"/>
      <c r="C863" s="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7"/>
      <c r="B864" s="1"/>
      <c r="C864" s="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7"/>
      <c r="B865" s="1"/>
      <c r="C865" s="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7"/>
      <c r="B866" s="1"/>
      <c r="C866" s="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7"/>
      <c r="B867" s="1"/>
      <c r="C867" s="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7"/>
      <c r="B868" s="1"/>
      <c r="C868" s="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7"/>
      <c r="B869" s="1"/>
      <c r="C869" s="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7"/>
      <c r="B870" s="1"/>
      <c r="C870" s="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7"/>
      <c r="B871" s="1"/>
      <c r="C871" s="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7"/>
      <c r="B872" s="1"/>
      <c r="C872" s="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7"/>
      <c r="B873" s="1"/>
      <c r="C873" s="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7"/>
      <c r="B874" s="1"/>
      <c r="C874" s="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7"/>
      <c r="B875" s="1"/>
      <c r="C875" s="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7"/>
      <c r="B876" s="1"/>
      <c r="C876" s="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7"/>
      <c r="B877" s="1"/>
      <c r="C877" s="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7"/>
      <c r="B878" s="1"/>
      <c r="C878" s="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7"/>
      <c r="B879" s="1"/>
      <c r="C879" s="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7"/>
      <c r="B880" s="1"/>
      <c r="C880" s="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7"/>
      <c r="B881" s="1"/>
      <c r="C881" s="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7"/>
      <c r="B882" s="1"/>
      <c r="C882" s="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7"/>
      <c r="B883" s="1"/>
      <c r="C883" s="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7"/>
      <c r="B884" s="1"/>
      <c r="C884" s="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7"/>
      <c r="B885" s="1"/>
      <c r="C885" s="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7"/>
      <c r="B886" s="1"/>
      <c r="C886" s="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7"/>
      <c r="B887" s="1"/>
      <c r="C887" s="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7"/>
      <c r="B888" s="1"/>
      <c r="C888" s="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7"/>
      <c r="B889" s="1"/>
      <c r="C889" s="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7"/>
      <c r="B890" s="1"/>
      <c r="C890" s="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7"/>
      <c r="B891" s="1"/>
      <c r="C891" s="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7"/>
      <c r="B892" s="1"/>
      <c r="C892" s="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7"/>
      <c r="B893" s="1"/>
      <c r="C893" s="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7"/>
      <c r="B894" s="1"/>
      <c r="C894" s="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7"/>
      <c r="B895" s="1"/>
      <c r="C895" s="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7"/>
      <c r="B896" s="1"/>
      <c r="C896" s="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7"/>
      <c r="B897" s="1"/>
      <c r="C897" s="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7"/>
      <c r="B898" s="1"/>
      <c r="C898" s="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7"/>
      <c r="B899" s="1"/>
      <c r="C899" s="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7"/>
      <c r="B900" s="1"/>
      <c r="C900" s="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7"/>
      <c r="B901" s="1"/>
      <c r="C901" s="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7"/>
      <c r="B902" s="1"/>
      <c r="C902" s="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7"/>
      <c r="B903" s="1"/>
      <c r="C903" s="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7"/>
      <c r="B904" s="1"/>
      <c r="C904" s="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7"/>
      <c r="B905" s="1"/>
      <c r="C905" s="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7"/>
      <c r="B906" s="1"/>
      <c r="C906" s="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7"/>
      <c r="B907" s="1"/>
      <c r="C907" s="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7"/>
      <c r="B908" s="1"/>
      <c r="C908" s="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7"/>
      <c r="B909" s="1"/>
      <c r="C909" s="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7"/>
      <c r="B910" s="1"/>
      <c r="C910" s="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7"/>
      <c r="B911" s="1"/>
      <c r="C911" s="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7"/>
      <c r="B912" s="1"/>
      <c r="C912" s="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7"/>
      <c r="B913" s="1"/>
      <c r="C913" s="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7"/>
      <c r="B914" s="1"/>
      <c r="C914" s="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7"/>
      <c r="B915" s="1"/>
      <c r="C915" s="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7"/>
      <c r="B916" s="1"/>
      <c r="C916" s="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7"/>
      <c r="B917" s="1"/>
      <c r="C917" s="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7"/>
      <c r="B918" s="1"/>
      <c r="C918" s="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7"/>
      <c r="B919" s="1"/>
      <c r="C919" s="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7"/>
      <c r="B920" s="1"/>
      <c r="C920" s="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7"/>
      <c r="B921" s="1"/>
      <c r="C921" s="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7"/>
      <c r="B922" s="1"/>
      <c r="C922" s="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7"/>
      <c r="B923" s="1"/>
      <c r="C923" s="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7"/>
      <c r="B924" s="1"/>
      <c r="C924" s="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7"/>
      <c r="B925" s="1"/>
      <c r="C925" s="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7"/>
      <c r="B926" s="1"/>
      <c r="C926" s="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7"/>
      <c r="B927" s="1"/>
      <c r="C927" s="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7"/>
      <c r="B928" s="1"/>
      <c r="C928" s="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7"/>
      <c r="B929" s="1"/>
      <c r="C929" s="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7"/>
      <c r="B930" s="1"/>
      <c r="C930" s="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7"/>
      <c r="B931" s="1"/>
      <c r="C931" s="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7"/>
      <c r="B932" s="1"/>
      <c r="C932" s="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7"/>
      <c r="B933" s="1"/>
      <c r="C933" s="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7"/>
      <c r="B934" s="1"/>
      <c r="C934" s="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7"/>
      <c r="B935" s="1"/>
      <c r="C935" s="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7"/>
      <c r="B936" s="1"/>
      <c r="C936" s="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7"/>
      <c r="B937" s="1"/>
      <c r="C937" s="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7"/>
      <c r="B938" s="1"/>
      <c r="C938" s="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7"/>
      <c r="B939" s="1"/>
      <c r="C939" s="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7"/>
      <c r="B940" s="1"/>
      <c r="C940" s="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7"/>
      <c r="B941" s="1"/>
      <c r="C941" s="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7"/>
      <c r="B942" s="1"/>
      <c r="C942" s="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7"/>
      <c r="B943" s="1"/>
      <c r="C943" s="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7"/>
      <c r="B944" s="1"/>
      <c r="C944" s="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7"/>
      <c r="B945" s="1"/>
      <c r="C945" s="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7"/>
      <c r="B946" s="1"/>
      <c r="C946" s="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7"/>
      <c r="B947" s="1"/>
      <c r="C947" s="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7"/>
      <c r="B948" s="1"/>
      <c r="C948" s="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7"/>
      <c r="B949" s="1"/>
      <c r="C949" s="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7"/>
      <c r="B950" s="1"/>
      <c r="C950" s="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7"/>
      <c r="B951" s="1"/>
      <c r="C951" s="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7"/>
      <c r="B952" s="1"/>
      <c r="C952" s="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7"/>
      <c r="B953" s="1"/>
      <c r="C953" s="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7"/>
      <c r="B954" s="1"/>
      <c r="C954" s="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7"/>
      <c r="B955" s="1"/>
      <c r="C955" s="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7"/>
      <c r="B956" s="1"/>
      <c r="C956" s="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7"/>
      <c r="B957" s="1"/>
      <c r="C957" s="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7"/>
      <c r="B958" s="1"/>
      <c r="C958" s="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7"/>
      <c r="B959" s="1"/>
      <c r="C959" s="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7"/>
      <c r="B960" s="1"/>
      <c r="C960" s="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7"/>
      <c r="B961" s="1"/>
      <c r="C961" s="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7"/>
      <c r="B962" s="1"/>
      <c r="C962" s="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7"/>
      <c r="B963" s="1"/>
      <c r="C963" s="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7"/>
      <c r="B964" s="1"/>
      <c r="C964" s="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7"/>
      <c r="B965" s="1"/>
      <c r="C965" s="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7"/>
      <c r="B966" s="1"/>
      <c r="C966" s="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7"/>
      <c r="B967" s="1"/>
      <c r="C967" s="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7"/>
      <c r="B968" s="1"/>
      <c r="C968" s="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7"/>
      <c r="B969" s="1"/>
      <c r="C969" s="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7"/>
      <c r="B970" s="1"/>
      <c r="C970" s="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7"/>
      <c r="B971" s="1"/>
      <c r="C971" s="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7"/>
      <c r="B972" s="1"/>
      <c r="C972" s="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7"/>
      <c r="B973" s="1"/>
      <c r="C973" s="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7"/>
      <c r="B974" s="1"/>
      <c r="C974" s="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7"/>
      <c r="B975" s="1"/>
      <c r="C975" s="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7"/>
      <c r="B976" s="1"/>
      <c r="C976" s="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7"/>
      <c r="B977" s="1"/>
      <c r="C977" s="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7"/>
      <c r="B978" s="1"/>
      <c r="C978" s="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7"/>
      <c r="B979" s="1"/>
      <c r="C979" s="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7"/>
      <c r="B980" s="1"/>
      <c r="C980" s="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7"/>
      <c r="B981" s="1"/>
      <c r="C981" s="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7"/>
      <c r="B982" s="1"/>
      <c r="C982" s="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7"/>
      <c r="B983" s="1"/>
      <c r="C983" s="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7"/>
      <c r="B984" s="1"/>
      <c r="C984" s="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7"/>
      <c r="B985" s="1"/>
      <c r="C985" s="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7"/>
      <c r="B986" s="1"/>
      <c r="C986" s="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7"/>
      <c r="B987" s="1"/>
      <c r="C987" s="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7"/>
      <c r="B988" s="1"/>
      <c r="C988" s="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7"/>
      <c r="B989" s="1"/>
      <c r="C989" s="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7"/>
      <c r="B990" s="1"/>
      <c r="C990" s="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7"/>
      <c r="B991" s="1"/>
      <c r="C991" s="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7"/>
      <c r="B992" s="1"/>
      <c r="C992" s="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7"/>
      <c r="B993" s="1"/>
      <c r="C993" s="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7"/>
      <c r="B994" s="1"/>
      <c r="C994" s="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7"/>
      <c r="B995" s="1"/>
      <c r="C995" s="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7"/>
      <c r="B996" s="1"/>
      <c r="C996" s="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7"/>
      <c r="B997" s="1"/>
      <c r="C997" s="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7"/>
      <c r="B998" s="1"/>
      <c r="C998" s="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7"/>
      <c r="B999" s="1"/>
      <c r="C999" s="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7"/>
      <c r="B1000" s="1"/>
      <c r="C1000" s="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0" customHeight="1">
      <c r="A1001" s="7"/>
      <c r="B1001" s="1"/>
      <c r="C1001" s="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0" customHeight="1">
      <c r="A1002" s="7"/>
      <c r="B1002" s="1"/>
      <c r="C1002" s="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0" customHeight="1">
      <c r="A1003" s="7"/>
      <c r="B1003" s="1"/>
      <c r="C1003" s="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0" customHeight="1">
      <c r="A1004" s="7"/>
      <c r="B1004" s="1"/>
      <c r="C1004" s="8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0" customHeight="1">
      <c r="A1005" s="7"/>
      <c r="B1005" s="1"/>
      <c r="C1005" s="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0" customHeight="1">
      <c r="A1006" s="7"/>
      <c r="B1006" s="1"/>
      <c r="C1006" s="8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0" customHeight="1">
      <c r="A1007" s="7"/>
      <c r="B1007" s="1"/>
      <c r="C1007" s="8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0" customHeight="1">
      <c r="A1008" s="7"/>
      <c r="B1008" s="1"/>
      <c r="C1008" s="8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0" customHeight="1">
      <c r="A1009" s="7"/>
      <c r="B1009" s="1"/>
      <c r="C1009" s="8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0" customHeight="1">
      <c r="A1010" s="7"/>
      <c r="B1010" s="1"/>
      <c r="C1010" s="8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2.0" customHeight="1">
      <c r="A1011" s="7"/>
      <c r="B1011" s="1"/>
      <c r="C1011" s="8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2.0" customHeight="1">
      <c r="A1012" s="7"/>
      <c r="B1012" s="1"/>
      <c r="C1012" s="8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0" customHeight="1">
      <c r="A1013" s="7"/>
      <c r="B1013" s="1"/>
      <c r="C1013" s="8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2.0" customHeight="1">
      <c r="A1014" s="7"/>
      <c r="B1014" s="1"/>
      <c r="C1014" s="8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2.0" customHeight="1">
      <c r="A1015" s="7"/>
      <c r="B1015" s="1"/>
      <c r="C1015" s="8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2.0" customHeight="1">
      <c r="A1016" s="7"/>
      <c r="B1016" s="1"/>
      <c r="C1016" s="8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2.0" customHeight="1">
      <c r="A1017" s="7"/>
      <c r="B1017" s="1"/>
      <c r="C1017" s="8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63"/>
    <col customWidth="1" min="3" max="3" width="13.25"/>
  </cols>
  <sheetData>
    <row r="1" ht="12.0" customHeight="1">
      <c r="A1" s="7"/>
      <c r="B1" s="1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7"/>
      <c r="B2" s="12" t="s">
        <v>63</v>
      </c>
      <c r="C2" s="10"/>
      <c r="D2" s="13"/>
      <c r="E2" s="1"/>
      <c r="F2" s="12"/>
      <c r="G2" s="1"/>
      <c r="H2" s="1"/>
      <c r="I2" s="1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7"/>
      <c r="B3" s="13" t="s">
        <v>28</v>
      </c>
      <c r="C3" s="15">
        <f>IRR!C27</f>
        <v>0.1</v>
      </c>
      <c r="D3" s="13"/>
      <c r="E3" s="1"/>
      <c r="F3" s="12"/>
      <c r="G3" s="1"/>
      <c r="H3" s="1"/>
      <c r="I3" s="1"/>
      <c r="J3" s="1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7"/>
      <c r="B4" s="13" t="s">
        <v>64</v>
      </c>
      <c r="C4" s="10"/>
      <c r="D4" s="13"/>
      <c r="E4" s="1"/>
      <c r="F4" s="12"/>
      <c r="G4" s="1"/>
      <c r="H4" s="1"/>
      <c r="I4" s="1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7"/>
      <c r="B5" s="13" t="s">
        <v>65</v>
      </c>
      <c r="C5" s="10"/>
      <c r="D5" s="13"/>
      <c r="E5" s="1"/>
      <c r="F5" s="12"/>
      <c r="G5" s="1"/>
      <c r="H5" s="1"/>
      <c r="I5" s="1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13"/>
      <c r="C6" s="10"/>
      <c r="D6" s="13"/>
      <c r="E6" s="1"/>
      <c r="F6" s="12"/>
      <c r="G6" s="1"/>
      <c r="H6" s="1"/>
      <c r="I6" s="1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7"/>
      <c r="B7" s="13"/>
      <c r="C7" s="10"/>
      <c r="D7" s="13"/>
      <c r="E7" s="1"/>
      <c r="F7" s="12"/>
      <c r="G7" s="1"/>
      <c r="H7" s="1"/>
      <c r="I7" s="1"/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7"/>
      <c r="B8" s="13"/>
      <c r="C8" s="10"/>
      <c r="D8" s="13"/>
      <c r="E8" s="1"/>
      <c r="F8" s="12"/>
      <c r="G8" s="1"/>
      <c r="H8" s="1"/>
      <c r="I8" s="1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7"/>
      <c r="B9" s="9" t="s">
        <v>13</v>
      </c>
      <c r="C9" s="10">
        <v>1.0E7</v>
      </c>
      <c r="D9" s="11" t="s">
        <v>14</v>
      </c>
      <c r="E9" s="1"/>
      <c r="F9" s="12" t="s">
        <v>15</v>
      </c>
      <c r="G9" s="1"/>
      <c r="H9" s="1"/>
      <c r="I9" s="1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7"/>
      <c r="B10" s="9" t="s">
        <v>16</v>
      </c>
      <c r="C10" s="10">
        <v>200000.0</v>
      </c>
      <c r="D10" s="11" t="s">
        <v>14</v>
      </c>
      <c r="E10" s="1"/>
      <c r="F10" s="13" t="s">
        <v>17</v>
      </c>
      <c r="G10" s="10">
        <v>1000000.0</v>
      </c>
      <c r="H10" s="14" t="s">
        <v>18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7"/>
      <c r="B11" s="9" t="s">
        <v>19</v>
      </c>
      <c r="C11" s="10">
        <v>1000000.0</v>
      </c>
      <c r="D11" s="11" t="s">
        <v>14</v>
      </c>
      <c r="E11" s="1"/>
      <c r="F11" s="13" t="s">
        <v>20</v>
      </c>
      <c r="G11" s="10">
        <v>2000000.0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7"/>
      <c r="B12" s="9" t="s">
        <v>21</v>
      </c>
      <c r="C12" s="10">
        <v>5.0</v>
      </c>
      <c r="D12" s="11" t="s">
        <v>22</v>
      </c>
      <c r="E12" s="1"/>
      <c r="F12" s="13" t="s">
        <v>23</v>
      </c>
      <c r="G12" s="10">
        <v>3000000.0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7"/>
      <c r="B13" s="9" t="s">
        <v>24</v>
      </c>
      <c r="C13" s="10">
        <v>4000000.0</v>
      </c>
      <c r="D13" s="11" t="s">
        <v>14</v>
      </c>
      <c r="E13" s="1"/>
      <c r="F13" s="13" t="s">
        <v>25</v>
      </c>
      <c r="G13" s="10">
        <v>4000000.0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7"/>
      <c r="B14" s="9" t="s">
        <v>26</v>
      </c>
      <c r="C14" s="15">
        <v>0.22</v>
      </c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7"/>
      <c r="B15" s="9" t="s">
        <v>27</v>
      </c>
      <c r="C15" s="15">
        <v>0.2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7"/>
      <c r="B16" s="1"/>
      <c r="C16" s="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7"/>
      <c r="B17" s="1"/>
      <c r="C17" s="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7"/>
      <c r="B18" s="19"/>
      <c r="C18" s="20">
        <v>0.0</v>
      </c>
      <c r="D18" s="21">
        <v>1.0</v>
      </c>
      <c r="E18" s="21">
        <v>2.0</v>
      </c>
      <c r="F18" s="21">
        <v>3.0</v>
      </c>
      <c r="G18" s="21">
        <v>4.0</v>
      </c>
      <c r="H18" s="21">
        <v>5.0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7"/>
      <c r="B19" s="9" t="s">
        <v>28</v>
      </c>
      <c r="C19" s="22"/>
      <c r="D19" s="22">
        <f t="shared" ref="D19:H19" si="1">(1+$C$3)*$C$13</f>
        <v>4400000</v>
      </c>
      <c r="E19" s="22">
        <f t="shared" si="1"/>
        <v>4400000</v>
      </c>
      <c r="F19" s="22">
        <f t="shared" si="1"/>
        <v>4400000</v>
      </c>
      <c r="G19" s="22">
        <f t="shared" si="1"/>
        <v>4400000</v>
      </c>
      <c r="H19" s="22">
        <f t="shared" si="1"/>
        <v>4400000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7"/>
      <c r="B20" s="23" t="s">
        <v>29</v>
      </c>
      <c r="C20" s="24"/>
      <c r="D20" s="24">
        <f t="shared" ref="D20:H20" si="2">-$C$9/$C$12</f>
        <v>-2000000</v>
      </c>
      <c r="E20" s="24">
        <f t="shared" si="2"/>
        <v>-2000000</v>
      </c>
      <c r="F20" s="24">
        <f t="shared" si="2"/>
        <v>-2000000</v>
      </c>
      <c r="G20" s="24">
        <f t="shared" si="2"/>
        <v>-2000000</v>
      </c>
      <c r="H20" s="24">
        <f t="shared" si="2"/>
        <v>-2000000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7"/>
      <c r="B21" s="9" t="s">
        <v>30</v>
      </c>
      <c r="C21" s="22"/>
      <c r="D21" s="22">
        <f t="shared" ref="D21:H21" si="3">sum(D19:D20)</f>
        <v>2400000</v>
      </c>
      <c r="E21" s="22">
        <f t="shared" si="3"/>
        <v>2400000</v>
      </c>
      <c r="F21" s="22">
        <f t="shared" si="3"/>
        <v>2400000</v>
      </c>
      <c r="G21" s="22">
        <f t="shared" si="3"/>
        <v>2400000</v>
      </c>
      <c r="H21" s="22">
        <f t="shared" si="3"/>
        <v>2400000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7"/>
      <c r="B22" s="23" t="s">
        <v>31</v>
      </c>
      <c r="C22" s="24"/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7"/>
      <c r="B23" s="9" t="s">
        <v>32</v>
      </c>
      <c r="C23" s="22"/>
      <c r="D23" s="22">
        <f t="shared" ref="D23:H23" si="4">sum(D21:D22)</f>
        <v>2400000</v>
      </c>
      <c r="E23" s="22">
        <f t="shared" si="4"/>
        <v>2400000</v>
      </c>
      <c r="F23" s="22">
        <f t="shared" si="4"/>
        <v>2400000</v>
      </c>
      <c r="G23" s="22">
        <f t="shared" si="4"/>
        <v>2400000</v>
      </c>
      <c r="H23" s="22">
        <f t="shared" si="4"/>
        <v>2400000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7"/>
      <c r="B24" s="23" t="s">
        <v>33</v>
      </c>
      <c r="C24" s="24"/>
      <c r="D24" s="24">
        <f t="shared" ref="D24:H24" si="5">-$C$14*D23</f>
        <v>-528000</v>
      </c>
      <c r="E24" s="24">
        <f t="shared" si="5"/>
        <v>-528000</v>
      </c>
      <c r="F24" s="24">
        <f t="shared" si="5"/>
        <v>-528000</v>
      </c>
      <c r="G24" s="24">
        <f t="shared" si="5"/>
        <v>-528000</v>
      </c>
      <c r="H24" s="24">
        <f t="shared" si="5"/>
        <v>-528000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7"/>
      <c r="B25" s="9" t="s">
        <v>34</v>
      </c>
      <c r="C25" s="22"/>
      <c r="D25" s="22">
        <f t="shared" ref="D25:H25" si="6">sum(D23:D24)</f>
        <v>1872000</v>
      </c>
      <c r="E25" s="22">
        <f t="shared" si="6"/>
        <v>1872000</v>
      </c>
      <c r="F25" s="22">
        <f t="shared" si="6"/>
        <v>1872000</v>
      </c>
      <c r="G25" s="22">
        <f t="shared" si="6"/>
        <v>1872000</v>
      </c>
      <c r="H25" s="22">
        <f t="shared" si="6"/>
        <v>1872000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7"/>
      <c r="B26" s="23" t="s">
        <v>35</v>
      </c>
      <c r="C26" s="24"/>
      <c r="D26" s="24">
        <f t="shared" ref="D26:H26" si="7">-D20</f>
        <v>2000000</v>
      </c>
      <c r="E26" s="24">
        <f t="shared" si="7"/>
        <v>2000000</v>
      </c>
      <c r="F26" s="24">
        <f t="shared" si="7"/>
        <v>2000000</v>
      </c>
      <c r="G26" s="24">
        <f t="shared" si="7"/>
        <v>2000000</v>
      </c>
      <c r="H26" s="24">
        <f t="shared" si="7"/>
        <v>2000000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7"/>
      <c r="B27" s="9" t="s">
        <v>36</v>
      </c>
      <c r="C27" s="22"/>
      <c r="D27" s="22">
        <f t="shared" ref="D27:H27" si="8">sum(D25:D26)</f>
        <v>3872000</v>
      </c>
      <c r="E27" s="22">
        <f t="shared" si="8"/>
        <v>3872000</v>
      </c>
      <c r="F27" s="22">
        <f t="shared" si="8"/>
        <v>3872000</v>
      </c>
      <c r="G27" s="22">
        <f t="shared" si="8"/>
        <v>3872000</v>
      </c>
      <c r="H27" s="22">
        <f t="shared" si="8"/>
        <v>3872000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7"/>
      <c r="B28" s="23" t="s">
        <v>37</v>
      </c>
      <c r="C28" s="24"/>
      <c r="D28" s="24"/>
      <c r="E28" s="24"/>
      <c r="F28" s="24"/>
      <c r="G28" s="24"/>
      <c r="H28" s="24">
        <f>C54</f>
        <v>6340000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7"/>
      <c r="B29" s="9" t="s">
        <v>38</v>
      </c>
      <c r="C29" s="22">
        <f>C41</f>
        <v>-13156000</v>
      </c>
      <c r="D29" s="22">
        <f t="shared" ref="D29:H29" si="9">sum(D27:D28)</f>
        <v>3872000</v>
      </c>
      <c r="E29" s="22">
        <f t="shared" si="9"/>
        <v>3872000</v>
      </c>
      <c r="F29" s="22">
        <f t="shared" si="9"/>
        <v>3872000</v>
      </c>
      <c r="G29" s="22">
        <f t="shared" si="9"/>
        <v>3872000</v>
      </c>
      <c r="H29" s="22">
        <f t="shared" si="9"/>
        <v>10212000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7"/>
      <c r="B30" s="9" t="s">
        <v>39</v>
      </c>
      <c r="C30" s="25">
        <f>irr(C29:H29)</f>
        <v>0.2284760401</v>
      </c>
      <c r="D30" s="22"/>
      <c r="E30" s="22"/>
      <c r="F30" s="22"/>
      <c r="G30" s="22"/>
      <c r="H30" s="2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7"/>
      <c r="B31" s="9" t="str">
        <f>"NPV at "&amp;text(C15,"##,00%")</f>
        <v>NPV at 20%</v>
      </c>
      <c r="C31" s="22">
        <f t="array" ref="C31">npv(C15,C29:H29)</f>
        <v>809628.3436</v>
      </c>
      <c r="D31" s="8"/>
      <c r="E31" s="8"/>
      <c r="F31" s="8"/>
      <c r="G31" s="8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7"/>
      <c r="B32" s="1"/>
      <c r="C32" s="8"/>
      <c r="D32" s="8"/>
      <c r="E32" s="8"/>
      <c r="F32" s="8"/>
      <c r="G32" s="8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7"/>
      <c r="B33" s="1"/>
      <c r="C33" s="8"/>
      <c r="D33" s="8"/>
      <c r="E33" s="8"/>
      <c r="F33" s="8"/>
      <c r="G33" s="8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7"/>
      <c r="B34" s="27" t="s">
        <v>46</v>
      </c>
      <c r="C34" s="2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29" t="s">
        <v>47</v>
      </c>
      <c r="B35" s="11" t="s">
        <v>48</v>
      </c>
      <c r="C35" s="30">
        <v>0.0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29" t="s">
        <v>47</v>
      </c>
      <c r="B36" s="11" t="s">
        <v>13</v>
      </c>
      <c r="C36" s="28">
        <f t="shared" ref="C36:C37" si="10">-C9</f>
        <v>-10000000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29" t="s">
        <v>47</v>
      </c>
      <c r="B37" s="11" t="s">
        <v>16</v>
      </c>
      <c r="C37" s="28">
        <f t="shared" si="10"/>
        <v>-200000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29" t="s">
        <v>47</v>
      </c>
      <c r="B38" s="11" t="s">
        <v>49</v>
      </c>
      <c r="C38" s="28">
        <f>-C14*C37</f>
        <v>44000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29" t="s">
        <v>47</v>
      </c>
      <c r="B39" s="11" t="s">
        <v>19</v>
      </c>
      <c r="C39" s="28">
        <f>-C11</f>
        <v>-1000000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29" t="s">
        <v>47</v>
      </c>
      <c r="B40" s="31" t="s">
        <v>50</v>
      </c>
      <c r="C40" s="32">
        <f>-G11</f>
        <v>-2000000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7"/>
      <c r="B41" s="11" t="s">
        <v>51</v>
      </c>
      <c r="C41" s="28">
        <f>sum(C35:C40)</f>
        <v>-13156000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7"/>
      <c r="B42" s="1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7"/>
      <c r="B43" s="1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7"/>
      <c r="B44" s="27" t="s">
        <v>52</v>
      </c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7"/>
      <c r="B45" s="11" t="s">
        <v>53</v>
      </c>
      <c r="C45" s="28">
        <f>C9</f>
        <v>10000000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7"/>
      <c r="B46" s="11" t="s">
        <v>54</v>
      </c>
      <c r="C46" s="28">
        <f>-C9/C12*5</f>
        <v>-10000000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7"/>
      <c r="B47" s="31" t="s">
        <v>55</v>
      </c>
      <c r="C47" s="32">
        <f>sum(C45:C46)</f>
        <v>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7"/>
      <c r="B48" s="31" t="s">
        <v>56</v>
      </c>
      <c r="C48" s="34">
        <v>3000000.0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7"/>
      <c r="B49" s="11" t="s">
        <v>57</v>
      </c>
      <c r="C49" s="28">
        <f>C48-C47</f>
        <v>3000000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7"/>
      <c r="B50" s="31" t="s">
        <v>58</v>
      </c>
      <c r="C50" s="32">
        <f>-C14*C49</f>
        <v>-660000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7"/>
      <c r="B51" s="11" t="s">
        <v>59</v>
      </c>
      <c r="C51" s="28">
        <f>sum(C49:C50)</f>
        <v>2340000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7"/>
      <c r="B52" s="11" t="s">
        <v>60</v>
      </c>
      <c r="C52" s="30">
        <f>C11</f>
        <v>1000000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7"/>
      <c r="B53" s="31" t="s">
        <v>61</v>
      </c>
      <c r="C53" s="32">
        <f>G12</f>
        <v>3000000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7"/>
      <c r="B54" s="11" t="s">
        <v>62</v>
      </c>
      <c r="C54" s="28">
        <f>sum(C51:C53)</f>
        <v>6340000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7"/>
      <c r="B55" s="1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7"/>
      <c r="B56" s="1"/>
      <c r="C56" s="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7"/>
      <c r="B57" s="1"/>
      <c r="C57" s="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7"/>
      <c r="B58" s="1"/>
      <c r="C58" s="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7"/>
      <c r="B59" s="1"/>
      <c r="C59" s="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7"/>
      <c r="B60" s="1"/>
      <c r="C60" s="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7"/>
      <c r="B61" s="1"/>
      <c r="C61" s="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7"/>
      <c r="B62" s="1"/>
      <c r="C62" s="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7"/>
      <c r="B63" s="1"/>
      <c r="C63" s="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7"/>
      <c r="B64" s="1"/>
      <c r="C64" s="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7"/>
      <c r="B65" s="1"/>
      <c r="C65" s="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7"/>
      <c r="B66" s="1"/>
      <c r="C66" s="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7"/>
      <c r="B67" s="1"/>
      <c r="C67" s="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7"/>
      <c r="B68" s="1"/>
      <c r="C68" s="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7"/>
      <c r="B69" s="1"/>
      <c r="C69" s="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7"/>
      <c r="B70" s="1"/>
      <c r="C70" s="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7"/>
      <c r="B71" s="1"/>
      <c r="C71" s="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7"/>
      <c r="B72" s="1"/>
      <c r="C72" s="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7"/>
      <c r="B73" s="1"/>
      <c r="C73" s="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7"/>
      <c r="B74" s="1"/>
      <c r="C74" s="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7"/>
      <c r="B75" s="1"/>
      <c r="C75" s="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7"/>
      <c r="B76" s="1"/>
      <c r="C76" s="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7"/>
      <c r="B77" s="1"/>
      <c r="C77" s="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7"/>
      <c r="B78" s="1"/>
      <c r="C78" s="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7"/>
      <c r="B79" s="1"/>
      <c r="C79" s="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7"/>
      <c r="B80" s="1"/>
      <c r="C80" s="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7"/>
      <c r="B81" s="1"/>
      <c r="C81" s="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7"/>
      <c r="B82" s="1"/>
      <c r="C82" s="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7"/>
      <c r="B83" s="1"/>
      <c r="C83" s="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7"/>
      <c r="B84" s="1"/>
      <c r="C84" s="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7"/>
      <c r="B85" s="1"/>
      <c r="C85" s="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7"/>
      <c r="B86" s="1"/>
      <c r="C86" s="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7"/>
      <c r="B87" s="1"/>
      <c r="C87" s="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7"/>
      <c r="B88" s="1"/>
      <c r="C88" s="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7"/>
      <c r="B89" s="1"/>
      <c r="C89" s="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7"/>
      <c r="B90" s="1"/>
      <c r="C90" s="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7"/>
      <c r="B91" s="1"/>
      <c r="C91" s="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7"/>
      <c r="B92" s="1"/>
      <c r="C92" s="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7"/>
      <c r="B93" s="1"/>
      <c r="C93" s="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7"/>
      <c r="B94" s="1"/>
      <c r="C94" s="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7"/>
      <c r="B95" s="1"/>
      <c r="C95" s="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7"/>
      <c r="B96" s="1"/>
      <c r="C96" s="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7"/>
      <c r="B97" s="1"/>
      <c r="C97" s="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7"/>
      <c r="B98" s="1"/>
      <c r="C98" s="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7"/>
      <c r="B99" s="1"/>
      <c r="C99" s="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7"/>
      <c r="B100" s="1"/>
      <c r="C100" s="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7"/>
      <c r="B101" s="1"/>
      <c r="C101" s="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7"/>
      <c r="B102" s="1"/>
      <c r="C102" s="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7"/>
      <c r="B103" s="1"/>
      <c r="C103" s="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7"/>
      <c r="B104" s="1"/>
      <c r="C104" s="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7"/>
      <c r="B105" s="1"/>
      <c r="C105" s="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7"/>
      <c r="B106" s="1"/>
      <c r="C106" s="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7"/>
      <c r="B107" s="1"/>
      <c r="C107" s="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7"/>
      <c r="B108" s="1"/>
      <c r="C108" s="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7"/>
      <c r="B109" s="1"/>
      <c r="C109" s="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7"/>
      <c r="B110" s="1"/>
      <c r="C110" s="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7"/>
      <c r="B111" s="1"/>
      <c r="C111" s="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7"/>
      <c r="B112" s="1"/>
      <c r="C112" s="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7"/>
      <c r="B113" s="1"/>
      <c r="C113" s="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7"/>
      <c r="B114" s="1"/>
      <c r="C114" s="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7"/>
      <c r="B115" s="1"/>
      <c r="C115" s="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7"/>
      <c r="B116" s="1"/>
      <c r="C116" s="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7"/>
      <c r="B117" s="1"/>
      <c r="C117" s="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7"/>
      <c r="B118" s="1"/>
      <c r="C118" s="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7"/>
      <c r="B119" s="1"/>
      <c r="C119" s="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7"/>
      <c r="B120" s="1"/>
      <c r="C120" s="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7"/>
      <c r="B121" s="1"/>
      <c r="C121" s="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7"/>
      <c r="B122" s="1"/>
      <c r="C122" s="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7"/>
      <c r="B123" s="1"/>
      <c r="C123" s="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7"/>
      <c r="B124" s="1"/>
      <c r="C124" s="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7"/>
      <c r="B125" s="1"/>
      <c r="C125" s="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7"/>
      <c r="B126" s="1"/>
      <c r="C126" s="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7"/>
      <c r="B127" s="1"/>
      <c r="C127" s="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7"/>
      <c r="B128" s="1"/>
      <c r="C128" s="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7"/>
      <c r="B129" s="1"/>
      <c r="C129" s="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7"/>
      <c r="B130" s="1"/>
      <c r="C130" s="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7"/>
      <c r="B131" s="1"/>
      <c r="C131" s="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7"/>
      <c r="B132" s="1"/>
      <c r="C132" s="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7"/>
      <c r="B133" s="1"/>
      <c r="C133" s="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7"/>
      <c r="B134" s="1"/>
      <c r="C134" s="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7"/>
      <c r="B135" s="1"/>
      <c r="C135" s="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7"/>
      <c r="B136" s="1"/>
      <c r="C136" s="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7"/>
      <c r="B137" s="1"/>
      <c r="C137" s="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7"/>
      <c r="B138" s="1"/>
      <c r="C138" s="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7"/>
      <c r="B139" s="1"/>
      <c r="C139" s="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7"/>
      <c r="B140" s="1"/>
      <c r="C140" s="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7"/>
      <c r="B141" s="1"/>
      <c r="C141" s="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7"/>
      <c r="B142" s="1"/>
      <c r="C142" s="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7"/>
      <c r="B143" s="1"/>
      <c r="C143" s="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7"/>
      <c r="B144" s="1"/>
      <c r="C144" s="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7"/>
      <c r="B145" s="1"/>
      <c r="C145" s="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7"/>
      <c r="B146" s="1"/>
      <c r="C146" s="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7"/>
      <c r="B147" s="1"/>
      <c r="C147" s="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7"/>
      <c r="B148" s="1"/>
      <c r="C148" s="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7"/>
      <c r="B149" s="1"/>
      <c r="C149" s="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7"/>
      <c r="B150" s="1"/>
      <c r="C150" s="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7"/>
      <c r="B151" s="1"/>
      <c r="C151" s="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7"/>
      <c r="B152" s="1"/>
      <c r="C152" s="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7"/>
      <c r="B153" s="1"/>
      <c r="C153" s="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7"/>
      <c r="B154" s="1"/>
      <c r="C154" s="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7"/>
      <c r="B155" s="1"/>
      <c r="C155" s="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7"/>
      <c r="B156" s="1"/>
      <c r="C156" s="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7"/>
      <c r="B157" s="1"/>
      <c r="C157" s="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7"/>
      <c r="B158" s="1"/>
      <c r="C158" s="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7"/>
      <c r="B159" s="1"/>
      <c r="C159" s="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7"/>
      <c r="B160" s="1"/>
      <c r="C160" s="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7"/>
      <c r="B161" s="1"/>
      <c r="C161" s="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7"/>
      <c r="B162" s="1"/>
      <c r="C162" s="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7"/>
      <c r="B163" s="1"/>
      <c r="C163" s="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7"/>
      <c r="B164" s="1"/>
      <c r="C164" s="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7"/>
      <c r="B165" s="1"/>
      <c r="C165" s="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7"/>
      <c r="B166" s="1"/>
      <c r="C166" s="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7"/>
      <c r="B167" s="1"/>
      <c r="C167" s="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7"/>
      <c r="B168" s="1"/>
      <c r="C168" s="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7"/>
      <c r="B169" s="1"/>
      <c r="C169" s="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7"/>
      <c r="B170" s="1"/>
      <c r="C170" s="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7"/>
      <c r="B171" s="1"/>
      <c r="C171" s="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7"/>
      <c r="B172" s="1"/>
      <c r="C172" s="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7"/>
      <c r="B173" s="1"/>
      <c r="C173" s="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7"/>
      <c r="B174" s="1"/>
      <c r="C174" s="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7"/>
      <c r="B175" s="1"/>
      <c r="C175" s="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7"/>
      <c r="B176" s="1"/>
      <c r="C176" s="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7"/>
      <c r="B177" s="1"/>
      <c r="C177" s="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7"/>
      <c r="B178" s="1"/>
      <c r="C178" s="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7"/>
      <c r="B179" s="1"/>
      <c r="C179" s="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7"/>
      <c r="B180" s="1"/>
      <c r="C180" s="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7"/>
      <c r="B181" s="1"/>
      <c r="C181" s="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7"/>
      <c r="B182" s="1"/>
      <c r="C182" s="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7"/>
      <c r="B183" s="1"/>
      <c r="C183" s="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7"/>
      <c r="B184" s="1"/>
      <c r="C184" s="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7"/>
      <c r="B185" s="1"/>
      <c r="C185" s="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7"/>
      <c r="B186" s="1"/>
      <c r="C186" s="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7"/>
      <c r="B187" s="1"/>
      <c r="C187" s="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7"/>
      <c r="B188" s="1"/>
      <c r="C188" s="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7"/>
      <c r="B189" s="1"/>
      <c r="C189" s="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7"/>
      <c r="B190" s="1"/>
      <c r="C190" s="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7"/>
      <c r="B191" s="1"/>
      <c r="C191" s="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7"/>
      <c r="B192" s="1"/>
      <c r="C192" s="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7"/>
      <c r="B193" s="1"/>
      <c r="C193" s="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7"/>
      <c r="B194" s="1"/>
      <c r="C194" s="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7"/>
      <c r="B195" s="1"/>
      <c r="C195" s="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7"/>
      <c r="B196" s="1"/>
      <c r="C196" s="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7"/>
      <c r="B197" s="1"/>
      <c r="C197" s="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7"/>
      <c r="B198" s="1"/>
      <c r="C198" s="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7"/>
      <c r="B199" s="1"/>
      <c r="C199" s="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7"/>
      <c r="B200" s="1"/>
      <c r="C200" s="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7"/>
      <c r="B201" s="1"/>
      <c r="C201" s="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7"/>
      <c r="B202" s="1"/>
      <c r="C202" s="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7"/>
      <c r="B203" s="1"/>
      <c r="C203" s="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7"/>
      <c r="B204" s="1"/>
      <c r="C204" s="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7"/>
      <c r="B205" s="1"/>
      <c r="C205" s="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7"/>
      <c r="B206" s="1"/>
      <c r="C206" s="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7"/>
      <c r="B207" s="1"/>
      <c r="C207" s="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7"/>
      <c r="B208" s="1"/>
      <c r="C208" s="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7"/>
      <c r="B209" s="1"/>
      <c r="C209" s="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7"/>
      <c r="B210" s="1"/>
      <c r="C210" s="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7"/>
      <c r="B211" s="1"/>
      <c r="C211" s="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7"/>
      <c r="B212" s="1"/>
      <c r="C212" s="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7"/>
      <c r="B213" s="1"/>
      <c r="C213" s="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7"/>
      <c r="B214" s="1"/>
      <c r="C214" s="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7"/>
      <c r="B215" s="1"/>
      <c r="C215" s="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7"/>
      <c r="B216" s="1"/>
      <c r="C216" s="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7"/>
      <c r="B217" s="1"/>
      <c r="C217" s="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7"/>
      <c r="B218" s="1"/>
      <c r="C218" s="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7"/>
      <c r="B219" s="1"/>
      <c r="C219" s="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7"/>
      <c r="B220" s="1"/>
      <c r="C220" s="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7"/>
      <c r="B221" s="1"/>
      <c r="C221" s="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7"/>
      <c r="B222" s="1"/>
      <c r="C222" s="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7"/>
      <c r="B223" s="1"/>
      <c r="C223" s="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7"/>
      <c r="B224" s="1"/>
      <c r="C224" s="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7"/>
      <c r="B225" s="1"/>
      <c r="C225" s="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7"/>
      <c r="B226" s="1"/>
      <c r="C226" s="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7"/>
      <c r="B227" s="1"/>
      <c r="C227" s="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7"/>
      <c r="B228" s="1"/>
      <c r="C228" s="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7"/>
      <c r="B229" s="1"/>
      <c r="C229" s="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7"/>
      <c r="B230" s="1"/>
      <c r="C230" s="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7"/>
      <c r="B231" s="1"/>
      <c r="C231" s="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7"/>
      <c r="B232" s="1"/>
      <c r="C232" s="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7"/>
      <c r="B233" s="1"/>
      <c r="C233" s="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7"/>
      <c r="B234" s="1"/>
      <c r="C234" s="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7"/>
      <c r="B235" s="1"/>
      <c r="C235" s="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7"/>
      <c r="B236" s="1"/>
      <c r="C236" s="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7"/>
      <c r="B237" s="1"/>
      <c r="C237" s="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7"/>
      <c r="B238" s="1"/>
      <c r="C238" s="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7"/>
      <c r="B239" s="1"/>
      <c r="C239" s="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7"/>
      <c r="B240" s="1"/>
      <c r="C240" s="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7"/>
      <c r="B241" s="1"/>
      <c r="C241" s="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7"/>
      <c r="B242" s="1"/>
      <c r="C242" s="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7"/>
      <c r="B243" s="1"/>
      <c r="C243" s="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7"/>
      <c r="B244" s="1"/>
      <c r="C244" s="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7"/>
      <c r="B245" s="1"/>
      <c r="C245" s="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7"/>
      <c r="B246" s="1"/>
      <c r="C246" s="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7"/>
      <c r="B247" s="1"/>
      <c r="C247" s="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7"/>
      <c r="B248" s="1"/>
      <c r="C248" s="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7"/>
      <c r="B249" s="1"/>
      <c r="C249" s="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7"/>
      <c r="B250" s="1"/>
      <c r="C250" s="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7"/>
      <c r="B251" s="1"/>
      <c r="C251" s="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7"/>
      <c r="B252" s="1"/>
      <c r="C252" s="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7"/>
      <c r="B253" s="1"/>
      <c r="C253" s="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7"/>
      <c r="B254" s="1"/>
      <c r="C254" s="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7"/>
      <c r="B255" s="1"/>
      <c r="C255" s="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7"/>
      <c r="B256" s="1"/>
      <c r="C256" s="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7"/>
      <c r="B257" s="1"/>
      <c r="C257" s="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7"/>
      <c r="B258" s="1"/>
      <c r="C258" s="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7"/>
      <c r="B259" s="1"/>
      <c r="C259" s="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7"/>
      <c r="B260" s="1"/>
      <c r="C260" s="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7"/>
      <c r="B261" s="1"/>
      <c r="C261" s="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7"/>
      <c r="B262" s="1"/>
      <c r="C262" s="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7"/>
      <c r="B263" s="1"/>
      <c r="C263" s="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7"/>
      <c r="B264" s="1"/>
      <c r="C264" s="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7"/>
      <c r="B265" s="1"/>
      <c r="C265" s="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7"/>
      <c r="B266" s="1"/>
      <c r="C266" s="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7"/>
      <c r="B267" s="1"/>
      <c r="C267" s="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7"/>
      <c r="B268" s="1"/>
      <c r="C268" s="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7"/>
      <c r="B269" s="1"/>
      <c r="C269" s="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7"/>
      <c r="B270" s="1"/>
      <c r="C270" s="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7"/>
      <c r="B271" s="1"/>
      <c r="C271" s="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7"/>
      <c r="B272" s="1"/>
      <c r="C272" s="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7"/>
      <c r="B273" s="1"/>
      <c r="C273" s="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7"/>
      <c r="B274" s="1"/>
      <c r="C274" s="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7"/>
      <c r="B275" s="1"/>
      <c r="C275" s="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7"/>
      <c r="B276" s="1"/>
      <c r="C276" s="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7"/>
      <c r="B277" s="1"/>
      <c r="C277" s="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7"/>
      <c r="B278" s="1"/>
      <c r="C278" s="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7"/>
      <c r="B279" s="1"/>
      <c r="C279" s="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7"/>
      <c r="B280" s="1"/>
      <c r="C280" s="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7"/>
      <c r="B281" s="1"/>
      <c r="C281" s="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7"/>
      <c r="B282" s="1"/>
      <c r="C282" s="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7"/>
      <c r="B283" s="1"/>
      <c r="C283" s="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7"/>
      <c r="B284" s="1"/>
      <c r="C284" s="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7"/>
      <c r="B285" s="1"/>
      <c r="C285" s="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7"/>
      <c r="B286" s="1"/>
      <c r="C286" s="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7"/>
      <c r="B287" s="1"/>
      <c r="C287" s="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7"/>
      <c r="B288" s="1"/>
      <c r="C288" s="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7"/>
      <c r="B289" s="1"/>
      <c r="C289" s="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7"/>
      <c r="B290" s="1"/>
      <c r="C290" s="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7"/>
      <c r="B291" s="1"/>
      <c r="C291" s="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7"/>
      <c r="B292" s="1"/>
      <c r="C292" s="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7"/>
      <c r="B293" s="1"/>
      <c r="C293" s="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7"/>
      <c r="B294" s="1"/>
      <c r="C294" s="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7"/>
      <c r="B295" s="1"/>
      <c r="C295" s="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7"/>
      <c r="B296" s="1"/>
      <c r="C296" s="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7"/>
      <c r="B297" s="1"/>
      <c r="C297" s="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7"/>
      <c r="B298" s="1"/>
      <c r="C298" s="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7"/>
      <c r="B299" s="1"/>
      <c r="C299" s="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7"/>
      <c r="B300" s="1"/>
      <c r="C300" s="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7"/>
      <c r="B301" s="1"/>
      <c r="C301" s="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7"/>
      <c r="B302" s="1"/>
      <c r="C302" s="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7"/>
      <c r="B303" s="1"/>
      <c r="C303" s="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7"/>
      <c r="B304" s="1"/>
      <c r="C304" s="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7"/>
      <c r="B305" s="1"/>
      <c r="C305" s="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7"/>
      <c r="B306" s="1"/>
      <c r="C306" s="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7"/>
      <c r="B307" s="1"/>
      <c r="C307" s="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7"/>
      <c r="B308" s="1"/>
      <c r="C308" s="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7"/>
      <c r="B309" s="1"/>
      <c r="C309" s="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7"/>
      <c r="B310" s="1"/>
      <c r="C310" s="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7"/>
      <c r="B311" s="1"/>
      <c r="C311" s="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7"/>
      <c r="B312" s="1"/>
      <c r="C312" s="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7"/>
      <c r="B313" s="1"/>
      <c r="C313" s="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7"/>
      <c r="B314" s="1"/>
      <c r="C314" s="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7"/>
      <c r="B315" s="1"/>
      <c r="C315" s="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7"/>
      <c r="B316" s="1"/>
      <c r="C316" s="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7"/>
      <c r="B317" s="1"/>
      <c r="C317" s="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7"/>
      <c r="B318" s="1"/>
      <c r="C318" s="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7"/>
      <c r="B319" s="1"/>
      <c r="C319" s="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7"/>
      <c r="B320" s="1"/>
      <c r="C320" s="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7"/>
      <c r="B321" s="1"/>
      <c r="C321" s="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7"/>
      <c r="B322" s="1"/>
      <c r="C322" s="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7"/>
      <c r="B323" s="1"/>
      <c r="C323" s="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7"/>
      <c r="B324" s="1"/>
      <c r="C324" s="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7"/>
      <c r="B325" s="1"/>
      <c r="C325" s="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7"/>
      <c r="B326" s="1"/>
      <c r="C326" s="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7"/>
      <c r="B327" s="1"/>
      <c r="C327" s="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7"/>
      <c r="B328" s="1"/>
      <c r="C328" s="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7"/>
      <c r="B329" s="1"/>
      <c r="C329" s="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7"/>
      <c r="B330" s="1"/>
      <c r="C330" s="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7"/>
      <c r="B331" s="1"/>
      <c r="C331" s="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7"/>
      <c r="B332" s="1"/>
      <c r="C332" s="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7"/>
      <c r="B333" s="1"/>
      <c r="C333" s="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7"/>
      <c r="B334" s="1"/>
      <c r="C334" s="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7"/>
      <c r="B335" s="1"/>
      <c r="C335" s="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7"/>
      <c r="B336" s="1"/>
      <c r="C336" s="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7"/>
      <c r="B337" s="1"/>
      <c r="C337" s="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7"/>
      <c r="B338" s="1"/>
      <c r="C338" s="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7"/>
      <c r="B339" s="1"/>
      <c r="C339" s="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7"/>
      <c r="B340" s="1"/>
      <c r="C340" s="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7"/>
      <c r="B341" s="1"/>
      <c r="C341" s="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7"/>
      <c r="B342" s="1"/>
      <c r="C342" s="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7"/>
      <c r="B343" s="1"/>
      <c r="C343" s="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7"/>
      <c r="B344" s="1"/>
      <c r="C344" s="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7"/>
      <c r="B345" s="1"/>
      <c r="C345" s="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7"/>
      <c r="B346" s="1"/>
      <c r="C346" s="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7"/>
      <c r="B347" s="1"/>
      <c r="C347" s="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7"/>
      <c r="B348" s="1"/>
      <c r="C348" s="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7"/>
      <c r="B349" s="1"/>
      <c r="C349" s="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7"/>
      <c r="B350" s="1"/>
      <c r="C350" s="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7"/>
      <c r="B351" s="1"/>
      <c r="C351" s="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7"/>
      <c r="B352" s="1"/>
      <c r="C352" s="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7"/>
      <c r="B353" s="1"/>
      <c r="C353" s="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7"/>
      <c r="B354" s="1"/>
      <c r="C354" s="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7"/>
      <c r="B355" s="1"/>
      <c r="C355" s="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7"/>
      <c r="B356" s="1"/>
      <c r="C356" s="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7"/>
      <c r="B357" s="1"/>
      <c r="C357" s="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7"/>
      <c r="B358" s="1"/>
      <c r="C358" s="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7"/>
      <c r="B359" s="1"/>
      <c r="C359" s="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7"/>
      <c r="B360" s="1"/>
      <c r="C360" s="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7"/>
      <c r="B361" s="1"/>
      <c r="C361" s="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7"/>
      <c r="B362" s="1"/>
      <c r="C362" s="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7"/>
      <c r="B363" s="1"/>
      <c r="C363" s="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7"/>
      <c r="B364" s="1"/>
      <c r="C364" s="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7"/>
      <c r="B365" s="1"/>
      <c r="C365" s="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7"/>
      <c r="B366" s="1"/>
      <c r="C366" s="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7"/>
      <c r="B367" s="1"/>
      <c r="C367" s="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7"/>
      <c r="B368" s="1"/>
      <c r="C368" s="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7"/>
      <c r="B369" s="1"/>
      <c r="C369" s="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7"/>
      <c r="B370" s="1"/>
      <c r="C370" s="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7"/>
      <c r="B371" s="1"/>
      <c r="C371" s="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7"/>
      <c r="B372" s="1"/>
      <c r="C372" s="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7"/>
      <c r="B373" s="1"/>
      <c r="C373" s="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7"/>
      <c r="B374" s="1"/>
      <c r="C374" s="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7"/>
      <c r="B375" s="1"/>
      <c r="C375" s="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7"/>
      <c r="B376" s="1"/>
      <c r="C376" s="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7"/>
      <c r="B377" s="1"/>
      <c r="C377" s="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7"/>
      <c r="B378" s="1"/>
      <c r="C378" s="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7"/>
      <c r="B379" s="1"/>
      <c r="C379" s="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7"/>
      <c r="B380" s="1"/>
      <c r="C380" s="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7"/>
      <c r="B381" s="1"/>
      <c r="C381" s="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7"/>
      <c r="B382" s="1"/>
      <c r="C382" s="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7"/>
      <c r="B383" s="1"/>
      <c r="C383" s="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7"/>
      <c r="B384" s="1"/>
      <c r="C384" s="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7"/>
      <c r="B385" s="1"/>
      <c r="C385" s="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7"/>
      <c r="B386" s="1"/>
      <c r="C386" s="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7"/>
      <c r="B387" s="1"/>
      <c r="C387" s="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7"/>
      <c r="B388" s="1"/>
      <c r="C388" s="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7"/>
      <c r="B389" s="1"/>
      <c r="C389" s="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7"/>
      <c r="B390" s="1"/>
      <c r="C390" s="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7"/>
      <c r="B391" s="1"/>
      <c r="C391" s="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7"/>
      <c r="B392" s="1"/>
      <c r="C392" s="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7"/>
      <c r="B393" s="1"/>
      <c r="C393" s="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7"/>
      <c r="B394" s="1"/>
      <c r="C394" s="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7"/>
      <c r="B395" s="1"/>
      <c r="C395" s="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7"/>
      <c r="B396" s="1"/>
      <c r="C396" s="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7"/>
      <c r="B397" s="1"/>
      <c r="C397" s="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7"/>
      <c r="B398" s="1"/>
      <c r="C398" s="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7"/>
      <c r="B399" s="1"/>
      <c r="C399" s="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7"/>
      <c r="B400" s="1"/>
      <c r="C400" s="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7"/>
      <c r="B401" s="1"/>
      <c r="C401" s="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7"/>
      <c r="B402" s="1"/>
      <c r="C402" s="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7"/>
      <c r="B403" s="1"/>
      <c r="C403" s="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7"/>
      <c r="B404" s="1"/>
      <c r="C404" s="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7"/>
      <c r="B405" s="1"/>
      <c r="C405" s="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7"/>
      <c r="B406" s="1"/>
      <c r="C406" s="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7"/>
      <c r="B407" s="1"/>
      <c r="C407" s="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7"/>
      <c r="B408" s="1"/>
      <c r="C408" s="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7"/>
      <c r="B409" s="1"/>
      <c r="C409" s="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7"/>
      <c r="B410" s="1"/>
      <c r="C410" s="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7"/>
      <c r="B411" s="1"/>
      <c r="C411" s="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7"/>
      <c r="B412" s="1"/>
      <c r="C412" s="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7"/>
      <c r="B413" s="1"/>
      <c r="C413" s="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7"/>
      <c r="B414" s="1"/>
      <c r="C414" s="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7"/>
      <c r="B415" s="1"/>
      <c r="C415" s="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7"/>
      <c r="B416" s="1"/>
      <c r="C416" s="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7"/>
      <c r="B417" s="1"/>
      <c r="C417" s="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7"/>
      <c r="B418" s="1"/>
      <c r="C418" s="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7"/>
      <c r="B419" s="1"/>
      <c r="C419" s="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7"/>
      <c r="B420" s="1"/>
      <c r="C420" s="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7"/>
      <c r="B421" s="1"/>
      <c r="C421" s="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7"/>
      <c r="B422" s="1"/>
      <c r="C422" s="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7"/>
      <c r="B423" s="1"/>
      <c r="C423" s="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7"/>
      <c r="B424" s="1"/>
      <c r="C424" s="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7"/>
      <c r="B425" s="1"/>
      <c r="C425" s="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7"/>
      <c r="B426" s="1"/>
      <c r="C426" s="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7"/>
      <c r="B427" s="1"/>
      <c r="C427" s="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7"/>
      <c r="B428" s="1"/>
      <c r="C428" s="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7"/>
      <c r="B429" s="1"/>
      <c r="C429" s="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7"/>
      <c r="B430" s="1"/>
      <c r="C430" s="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7"/>
      <c r="B431" s="1"/>
      <c r="C431" s="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7"/>
      <c r="B432" s="1"/>
      <c r="C432" s="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7"/>
      <c r="B433" s="1"/>
      <c r="C433" s="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7"/>
      <c r="B434" s="1"/>
      <c r="C434" s="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7"/>
      <c r="B435" s="1"/>
      <c r="C435" s="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7"/>
      <c r="B436" s="1"/>
      <c r="C436" s="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7"/>
      <c r="B437" s="1"/>
      <c r="C437" s="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7"/>
      <c r="B438" s="1"/>
      <c r="C438" s="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7"/>
      <c r="B439" s="1"/>
      <c r="C439" s="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7"/>
      <c r="B440" s="1"/>
      <c r="C440" s="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7"/>
      <c r="B441" s="1"/>
      <c r="C441" s="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7"/>
      <c r="B442" s="1"/>
      <c r="C442" s="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7"/>
      <c r="B443" s="1"/>
      <c r="C443" s="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7"/>
      <c r="B444" s="1"/>
      <c r="C444" s="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7"/>
      <c r="B445" s="1"/>
      <c r="C445" s="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7"/>
      <c r="B446" s="1"/>
      <c r="C446" s="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7"/>
      <c r="B447" s="1"/>
      <c r="C447" s="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7"/>
      <c r="B448" s="1"/>
      <c r="C448" s="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7"/>
      <c r="B449" s="1"/>
      <c r="C449" s="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7"/>
      <c r="B450" s="1"/>
      <c r="C450" s="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7"/>
      <c r="B451" s="1"/>
      <c r="C451" s="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7"/>
      <c r="B452" s="1"/>
      <c r="C452" s="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7"/>
      <c r="B453" s="1"/>
      <c r="C453" s="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7"/>
      <c r="B454" s="1"/>
      <c r="C454" s="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7"/>
      <c r="B455" s="1"/>
      <c r="C455" s="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7"/>
      <c r="B456" s="1"/>
      <c r="C456" s="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7"/>
      <c r="B457" s="1"/>
      <c r="C457" s="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7"/>
      <c r="B458" s="1"/>
      <c r="C458" s="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7"/>
      <c r="B459" s="1"/>
      <c r="C459" s="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7"/>
      <c r="B460" s="1"/>
      <c r="C460" s="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7"/>
      <c r="B461" s="1"/>
      <c r="C461" s="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7"/>
      <c r="B462" s="1"/>
      <c r="C462" s="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7"/>
      <c r="B463" s="1"/>
      <c r="C463" s="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7"/>
      <c r="B464" s="1"/>
      <c r="C464" s="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7"/>
      <c r="B465" s="1"/>
      <c r="C465" s="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7"/>
      <c r="B466" s="1"/>
      <c r="C466" s="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7"/>
      <c r="B467" s="1"/>
      <c r="C467" s="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7"/>
      <c r="B468" s="1"/>
      <c r="C468" s="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7"/>
      <c r="B469" s="1"/>
      <c r="C469" s="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7"/>
      <c r="B470" s="1"/>
      <c r="C470" s="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7"/>
      <c r="B471" s="1"/>
      <c r="C471" s="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7"/>
      <c r="B472" s="1"/>
      <c r="C472" s="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7"/>
      <c r="B473" s="1"/>
      <c r="C473" s="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7"/>
      <c r="B474" s="1"/>
      <c r="C474" s="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7"/>
      <c r="B475" s="1"/>
      <c r="C475" s="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7"/>
      <c r="B476" s="1"/>
      <c r="C476" s="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7"/>
      <c r="B477" s="1"/>
      <c r="C477" s="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7"/>
      <c r="B478" s="1"/>
      <c r="C478" s="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7"/>
      <c r="B479" s="1"/>
      <c r="C479" s="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7"/>
      <c r="B480" s="1"/>
      <c r="C480" s="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7"/>
      <c r="B481" s="1"/>
      <c r="C481" s="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7"/>
      <c r="B482" s="1"/>
      <c r="C482" s="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7"/>
      <c r="B483" s="1"/>
      <c r="C483" s="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7"/>
      <c r="B484" s="1"/>
      <c r="C484" s="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7"/>
      <c r="B485" s="1"/>
      <c r="C485" s="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7"/>
      <c r="B486" s="1"/>
      <c r="C486" s="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7"/>
      <c r="B487" s="1"/>
      <c r="C487" s="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7"/>
      <c r="B488" s="1"/>
      <c r="C488" s="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7"/>
      <c r="B489" s="1"/>
      <c r="C489" s="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7"/>
      <c r="B490" s="1"/>
      <c r="C490" s="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7"/>
      <c r="B491" s="1"/>
      <c r="C491" s="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7"/>
      <c r="B492" s="1"/>
      <c r="C492" s="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7"/>
      <c r="B493" s="1"/>
      <c r="C493" s="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7"/>
      <c r="B494" s="1"/>
      <c r="C494" s="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7"/>
      <c r="B495" s="1"/>
      <c r="C495" s="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7"/>
      <c r="B496" s="1"/>
      <c r="C496" s="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7"/>
      <c r="B497" s="1"/>
      <c r="C497" s="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7"/>
      <c r="B498" s="1"/>
      <c r="C498" s="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7"/>
      <c r="B499" s="1"/>
      <c r="C499" s="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7"/>
      <c r="B500" s="1"/>
      <c r="C500" s="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7"/>
      <c r="B501" s="1"/>
      <c r="C501" s="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7"/>
      <c r="B502" s="1"/>
      <c r="C502" s="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7"/>
      <c r="B503" s="1"/>
      <c r="C503" s="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7"/>
      <c r="B504" s="1"/>
      <c r="C504" s="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7"/>
      <c r="B505" s="1"/>
      <c r="C505" s="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7"/>
      <c r="B506" s="1"/>
      <c r="C506" s="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7"/>
      <c r="B507" s="1"/>
      <c r="C507" s="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7"/>
      <c r="B508" s="1"/>
      <c r="C508" s="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7"/>
      <c r="B509" s="1"/>
      <c r="C509" s="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7"/>
      <c r="B510" s="1"/>
      <c r="C510" s="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7"/>
      <c r="B511" s="1"/>
      <c r="C511" s="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7"/>
      <c r="B512" s="1"/>
      <c r="C512" s="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7"/>
      <c r="B513" s="1"/>
      <c r="C513" s="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7"/>
      <c r="B514" s="1"/>
      <c r="C514" s="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7"/>
      <c r="B515" s="1"/>
      <c r="C515" s="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7"/>
      <c r="B516" s="1"/>
      <c r="C516" s="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7"/>
      <c r="B517" s="1"/>
      <c r="C517" s="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7"/>
      <c r="B518" s="1"/>
      <c r="C518" s="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7"/>
      <c r="B519" s="1"/>
      <c r="C519" s="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7"/>
      <c r="B520" s="1"/>
      <c r="C520" s="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7"/>
      <c r="B521" s="1"/>
      <c r="C521" s="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7"/>
      <c r="B522" s="1"/>
      <c r="C522" s="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7"/>
      <c r="B523" s="1"/>
      <c r="C523" s="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7"/>
      <c r="B524" s="1"/>
      <c r="C524" s="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7"/>
      <c r="B525" s="1"/>
      <c r="C525" s="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7"/>
      <c r="B526" s="1"/>
      <c r="C526" s="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7"/>
      <c r="B527" s="1"/>
      <c r="C527" s="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7"/>
      <c r="B528" s="1"/>
      <c r="C528" s="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7"/>
      <c r="B529" s="1"/>
      <c r="C529" s="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7"/>
      <c r="B530" s="1"/>
      <c r="C530" s="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7"/>
      <c r="B531" s="1"/>
      <c r="C531" s="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7"/>
      <c r="B532" s="1"/>
      <c r="C532" s="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7"/>
      <c r="B533" s="1"/>
      <c r="C533" s="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7"/>
      <c r="B534" s="1"/>
      <c r="C534" s="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7"/>
      <c r="B535" s="1"/>
      <c r="C535" s="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7"/>
      <c r="B536" s="1"/>
      <c r="C536" s="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7"/>
      <c r="B537" s="1"/>
      <c r="C537" s="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7"/>
      <c r="B538" s="1"/>
      <c r="C538" s="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7"/>
      <c r="B539" s="1"/>
      <c r="C539" s="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7"/>
      <c r="B540" s="1"/>
      <c r="C540" s="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7"/>
      <c r="B541" s="1"/>
      <c r="C541" s="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7"/>
      <c r="B542" s="1"/>
      <c r="C542" s="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7"/>
      <c r="B543" s="1"/>
      <c r="C543" s="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7"/>
      <c r="B544" s="1"/>
      <c r="C544" s="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7"/>
      <c r="B545" s="1"/>
      <c r="C545" s="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7"/>
      <c r="B546" s="1"/>
      <c r="C546" s="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7"/>
      <c r="B547" s="1"/>
      <c r="C547" s="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7"/>
      <c r="B548" s="1"/>
      <c r="C548" s="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7"/>
      <c r="B549" s="1"/>
      <c r="C549" s="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7"/>
      <c r="B550" s="1"/>
      <c r="C550" s="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7"/>
      <c r="B551" s="1"/>
      <c r="C551" s="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7"/>
      <c r="B552" s="1"/>
      <c r="C552" s="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7"/>
      <c r="B553" s="1"/>
      <c r="C553" s="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7"/>
      <c r="B554" s="1"/>
      <c r="C554" s="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7"/>
      <c r="B555" s="1"/>
      <c r="C555" s="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7"/>
      <c r="B556" s="1"/>
      <c r="C556" s="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7"/>
      <c r="B557" s="1"/>
      <c r="C557" s="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7"/>
      <c r="B558" s="1"/>
      <c r="C558" s="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7"/>
      <c r="B559" s="1"/>
      <c r="C559" s="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7"/>
      <c r="B560" s="1"/>
      <c r="C560" s="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7"/>
      <c r="B561" s="1"/>
      <c r="C561" s="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7"/>
      <c r="B562" s="1"/>
      <c r="C562" s="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7"/>
      <c r="B563" s="1"/>
      <c r="C563" s="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7"/>
      <c r="B564" s="1"/>
      <c r="C564" s="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7"/>
      <c r="B565" s="1"/>
      <c r="C565" s="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7"/>
      <c r="B566" s="1"/>
      <c r="C566" s="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7"/>
      <c r="B567" s="1"/>
      <c r="C567" s="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7"/>
      <c r="B568" s="1"/>
      <c r="C568" s="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7"/>
      <c r="B569" s="1"/>
      <c r="C569" s="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7"/>
      <c r="B570" s="1"/>
      <c r="C570" s="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7"/>
      <c r="B571" s="1"/>
      <c r="C571" s="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7"/>
      <c r="B572" s="1"/>
      <c r="C572" s="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7"/>
      <c r="B573" s="1"/>
      <c r="C573" s="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7"/>
      <c r="B574" s="1"/>
      <c r="C574" s="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7"/>
      <c r="B575" s="1"/>
      <c r="C575" s="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7"/>
      <c r="B576" s="1"/>
      <c r="C576" s="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7"/>
      <c r="B577" s="1"/>
      <c r="C577" s="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7"/>
      <c r="B578" s="1"/>
      <c r="C578" s="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7"/>
      <c r="B579" s="1"/>
      <c r="C579" s="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7"/>
      <c r="B580" s="1"/>
      <c r="C580" s="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7"/>
      <c r="B581" s="1"/>
      <c r="C581" s="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7"/>
      <c r="B582" s="1"/>
      <c r="C582" s="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7"/>
      <c r="B583" s="1"/>
      <c r="C583" s="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7"/>
      <c r="B584" s="1"/>
      <c r="C584" s="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7"/>
      <c r="B585" s="1"/>
      <c r="C585" s="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7"/>
      <c r="B586" s="1"/>
      <c r="C586" s="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7"/>
      <c r="B587" s="1"/>
      <c r="C587" s="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7"/>
      <c r="B588" s="1"/>
      <c r="C588" s="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7"/>
      <c r="B589" s="1"/>
      <c r="C589" s="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7"/>
      <c r="B590" s="1"/>
      <c r="C590" s="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7"/>
      <c r="B591" s="1"/>
      <c r="C591" s="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7"/>
      <c r="B592" s="1"/>
      <c r="C592" s="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7"/>
      <c r="B593" s="1"/>
      <c r="C593" s="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7"/>
      <c r="B594" s="1"/>
      <c r="C594" s="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7"/>
      <c r="B595" s="1"/>
      <c r="C595" s="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7"/>
      <c r="B596" s="1"/>
      <c r="C596" s="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7"/>
      <c r="B597" s="1"/>
      <c r="C597" s="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7"/>
      <c r="B598" s="1"/>
      <c r="C598" s="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7"/>
      <c r="B599" s="1"/>
      <c r="C599" s="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7"/>
      <c r="B600" s="1"/>
      <c r="C600" s="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7"/>
      <c r="B601" s="1"/>
      <c r="C601" s="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7"/>
      <c r="B602" s="1"/>
      <c r="C602" s="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7"/>
      <c r="B603" s="1"/>
      <c r="C603" s="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7"/>
      <c r="B604" s="1"/>
      <c r="C604" s="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7"/>
      <c r="B605" s="1"/>
      <c r="C605" s="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7"/>
      <c r="B606" s="1"/>
      <c r="C606" s="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7"/>
      <c r="B607" s="1"/>
      <c r="C607" s="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7"/>
      <c r="B608" s="1"/>
      <c r="C608" s="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7"/>
      <c r="B609" s="1"/>
      <c r="C609" s="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7"/>
      <c r="B610" s="1"/>
      <c r="C610" s="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7"/>
      <c r="B611" s="1"/>
      <c r="C611" s="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7"/>
      <c r="B612" s="1"/>
      <c r="C612" s="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7"/>
      <c r="B613" s="1"/>
      <c r="C613" s="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7"/>
      <c r="B614" s="1"/>
      <c r="C614" s="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7"/>
      <c r="B615" s="1"/>
      <c r="C615" s="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7"/>
      <c r="B616" s="1"/>
      <c r="C616" s="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7"/>
      <c r="B617" s="1"/>
      <c r="C617" s="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7"/>
      <c r="B618" s="1"/>
      <c r="C618" s="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7"/>
      <c r="B619" s="1"/>
      <c r="C619" s="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7"/>
      <c r="B620" s="1"/>
      <c r="C620" s="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7"/>
      <c r="B621" s="1"/>
      <c r="C621" s="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7"/>
      <c r="B622" s="1"/>
      <c r="C622" s="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7"/>
      <c r="B623" s="1"/>
      <c r="C623" s="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7"/>
      <c r="B624" s="1"/>
      <c r="C624" s="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7"/>
      <c r="B625" s="1"/>
      <c r="C625" s="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7"/>
      <c r="B626" s="1"/>
      <c r="C626" s="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7"/>
      <c r="B627" s="1"/>
      <c r="C627" s="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7"/>
      <c r="B628" s="1"/>
      <c r="C628" s="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7"/>
      <c r="B629" s="1"/>
      <c r="C629" s="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7"/>
      <c r="B630" s="1"/>
      <c r="C630" s="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7"/>
      <c r="B631" s="1"/>
      <c r="C631" s="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7"/>
      <c r="B632" s="1"/>
      <c r="C632" s="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7"/>
      <c r="B633" s="1"/>
      <c r="C633" s="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7"/>
      <c r="B634" s="1"/>
      <c r="C634" s="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7"/>
      <c r="B635" s="1"/>
      <c r="C635" s="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7"/>
      <c r="B636" s="1"/>
      <c r="C636" s="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7"/>
      <c r="B637" s="1"/>
      <c r="C637" s="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7"/>
      <c r="B638" s="1"/>
      <c r="C638" s="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7"/>
      <c r="B639" s="1"/>
      <c r="C639" s="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7"/>
      <c r="B640" s="1"/>
      <c r="C640" s="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7"/>
      <c r="B641" s="1"/>
      <c r="C641" s="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7"/>
      <c r="B642" s="1"/>
      <c r="C642" s="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7"/>
      <c r="B643" s="1"/>
      <c r="C643" s="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7"/>
      <c r="B644" s="1"/>
      <c r="C644" s="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7"/>
      <c r="B645" s="1"/>
      <c r="C645" s="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7"/>
      <c r="B646" s="1"/>
      <c r="C646" s="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7"/>
      <c r="B647" s="1"/>
      <c r="C647" s="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7"/>
      <c r="B648" s="1"/>
      <c r="C648" s="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7"/>
      <c r="B649" s="1"/>
      <c r="C649" s="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7"/>
      <c r="B650" s="1"/>
      <c r="C650" s="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7"/>
      <c r="B651" s="1"/>
      <c r="C651" s="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7"/>
      <c r="B652" s="1"/>
      <c r="C652" s="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7"/>
      <c r="B653" s="1"/>
      <c r="C653" s="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7"/>
      <c r="B654" s="1"/>
      <c r="C654" s="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7"/>
      <c r="B655" s="1"/>
      <c r="C655" s="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7"/>
      <c r="B656" s="1"/>
      <c r="C656" s="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7"/>
      <c r="B657" s="1"/>
      <c r="C657" s="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7"/>
      <c r="B658" s="1"/>
      <c r="C658" s="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7"/>
      <c r="B659" s="1"/>
      <c r="C659" s="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7"/>
      <c r="B660" s="1"/>
      <c r="C660" s="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7"/>
      <c r="B661" s="1"/>
      <c r="C661" s="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7"/>
      <c r="B662" s="1"/>
      <c r="C662" s="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7"/>
      <c r="B663" s="1"/>
      <c r="C663" s="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7"/>
      <c r="B664" s="1"/>
      <c r="C664" s="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7"/>
      <c r="B665" s="1"/>
      <c r="C665" s="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7"/>
      <c r="B666" s="1"/>
      <c r="C666" s="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7"/>
      <c r="B667" s="1"/>
      <c r="C667" s="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7"/>
      <c r="B668" s="1"/>
      <c r="C668" s="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7"/>
      <c r="B669" s="1"/>
      <c r="C669" s="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7"/>
      <c r="B670" s="1"/>
      <c r="C670" s="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7"/>
      <c r="B671" s="1"/>
      <c r="C671" s="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7"/>
      <c r="B672" s="1"/>
      <c r="C672" s="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7"/>
      <c r="B673" s="1"/>
      <c r="C673" s="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7"/>
      <c r="B674" s="1"/>
      <c r="C674" s="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7"/>
      <c r="B675" s="1"/>
      <c r="C675" s="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7"/>
      <c r="B676" s="1"/>
      <c r="C676" s="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7"/>
      <c r="B677" s="1"/>
      <c r="C677" s="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7"/>
      <c r="B678" s="1"/>
      <c r="C678" s="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7"/>
      <c r="B679" s="1"/>
      <c r="C679" s="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7"/>
      <c r="B680" s="1"/>
      <c r="C680" s="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7"/>
      <c r="B681" s="1"/>
      <c r="C681" s="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7"/>
      <c r="B682" s="1"/>
      <c r="C682" s="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7"/>
      <c r="B683" s="1"/>
      <c r="C683" s="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7"/>
      <c r="B684" s="1"/>
      <c r="C684" s="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7"/>
      <c r="B685" s="1"/>
      <c r="C685" s="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7"/>
      <c r="B686" s="1"/>
      <c r="C686" s="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7"/>
      <c r="B687" s="1"/>
      <c r="C687" s="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7"/>
      <c r="B688" s="1"/>
      <c r="C688" s="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7"/>
      <c r="B689" s="1"/>
      <c r="C689" s="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7"/>
      <c r="B690" s="1"/>
      <c r="C690" s="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7"/>
      <c r="B691" s="1"/>
      <c r="C691" s="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7"/>
      <c r="B692" s="1"/>
      <c r="C692" s="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7"/>
      <c r="B693" s="1"/>
      <c r="C693" s="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7"/>
      <c r="B694" s="1"/>
      <c r="C694" s="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7"/>
      <c r="B695" s="1"/>
      <c r="C695" s="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7"/>
      <c r="B696" s="1"/>
      <c r="C696" s="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7"/>
      <c r="B697" s="1"/>
      <c r="C697" s="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7"/>
      <c r="B698" s="1"/>
      <c r="C698" s="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7"/>
      <c r="B699" s="1"/>
      <c r="C699" s="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7"/>
      <c r="B700" s="1"/>
      <c r="C700" s="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7"/>
      <c r="B701" s="1"/>
      <c r="C701" s="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7"/>
      <c r="B702" s="1"/>
      <c r="C702" s="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7"/>
      <c r="B703" s="1"/>
      <c r="C703" s="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7"/>
      <c r="B704" s="1"/>
      <c r="C704" s="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7"/>
      <c r="B705" s="1"/>
      <c r="C705" s="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7"/>
      <c r="B706" s="1"/>
      <c r="C706" s="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7"/>
      <c r="B707" s="1"/>
      <c r="C707" s="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7"/>
      <c r="B708" s="1"/>
      <c r="C708" s="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7"/>
      <c r="B709" s="1"/>
      <c r="C709" s="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7"/>
      <c r="B710" s="1"/>
      <c r="C710" s="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7"/>
      <c r="B711" s="1"/>
      <c r="C711" s="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7"/>
      <c r="B712" s="1"/>
      <c r="C712" s="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7"/>
      <c r="B713" s="1"/>
      <c r="C713" s="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7"/>
      <c r="B714" s="1"/>
      <c r="C714" s="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7"/>
      <c r="B715" s="1"/>
      <c r="C715" s="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7"/>
      <c r="B716" s="1"/>
      <c r="C716" s="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7"/>
      <c r="B717" s="1"/>
      <c r="C717" s="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7"/>
      <c r="B718" s="1"/>
      <c r="C718" s="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7"/>
      <c r="B719" s="1"/>
      <c r="C719" s="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7"/>
      <c r="B720" s="1"/>
      <c r="C720" s="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7"/>
      <c r="B721" s="1"/>
      <c r="C721" s="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7"/>
      <c r="B722" s="1"/>
      <c r="C722" s="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7"/>
      <c r="B723" s="1"/>
      <c r="C723" s="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7"/>
      <c r="B724" s="1"/>
      <c r="C724" s="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7"/>
      <c r="B725" s="1"/>
      <c r="C725" s="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7"/>
      <c r="B726" s="1"/>
      <c r="C726" s="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7"/>
      <c r="B727" s="1"/>
      <c r="C727" s="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7"/>
      <c r="B728" s="1"/>
      <c r="C728" s="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7"/>
      <c r="B729" s="1"/>
      <c r="C729" s="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7"/>
      <c r="B730" s="1"/>
      <c r="C730" s="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7"/>
      <c r="B731" s="1"/>
      <c r="C731" s="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7"/>
      <c r="B732" s="1"/>
      <c r="C732" s="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7"/>
      <c r="B733" s="1"/>
      <c r="C733" s="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7"/>
      <c r="B734" s="1"/>
      <c r="C734" s="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7"/>
      <c r="B735" s="1"/>
      <c r="C735" s="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7"/>
      <c r="B736" s="1"/>
      <c r="C736" s="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7"/>
      <c r="B737" s="1"/>
      <c r="C737" s="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7"/>
      <c r="B738" s="1"/>
      <c r="C738" s="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7"/>
      <c r="B739" s="1"/>
      <c r="C739" s="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7"/>
      <c r="B740" s="1"/>
      <c r="C740" s="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7"/>
      <c r="B741" s="1"/>
      <c r="C741" s="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7"/>
      <c r="B742" s="1"/>
      <c r="C742" s="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7"/>
      <c r="B743" s="1"/>
      <c r="C743" s="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7"/>
      <c r="B744" s="1"/>
      <c r="C744" s="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7"/>
      <c r="B745" s="1"/>
      <c r="C745" s="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7"/>
      <c r="B746" s="1"/>
      <c r="C746" s="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7"/>
      <c r="B747" s="1"/>
      <c r="C747" s="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7"/>
      <c r="B748" s="1"/>
      <c r="C748" s="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7"/>
      <c r="B749" s="1"/>
      <c r="C749" s="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7"/>
      <c r="B750" s="1"/>
      <c r="C750" s="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7"/>
      <c r="B751" s="1"/>
      <c r="C751" s="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7"/>
      <c r="B752" s="1"/>
      <c r="C752" s="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7"/>
      <c r="B753" s="1"/>
      <c r="C753" s="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7"/>
      <c r="B754" s="1"/>
      <c r="C754" s="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7"/>
      <c r="B755" s="1"/>
      <c r="C755" s="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7"/>
      <c r="B756" s="1"/>
      <c r="C756" s="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7"/>
      <c r="B757" s="1"/>
      <c r="C757" s="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7"/>
      <c r="B758" s="1"/>
      <c r="C758" s="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7"/>
      <c r="B759" s="1"/>
      <c r="C759" s="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7"/>
      <c r="B760" s="1"/>
      <c r="C760" s="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7"/>
      <c r="B761" s="1"/>
      <c r="C761" s="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7"/>
      <c r="B762" s="1"/>
      <c r="C762" s="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7"/>
      <c r="B763" s="1"/>
      <c r="C763" s="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7"/>
      <c r="B764" s="1"/>
      <c r="C764" s="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7"/>
      <c r="B765" s="1"/>
      <c r="C765" s="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7"/>
      <c r="B766" s="1"/>
      <c r="C766" s="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7"/>
      <c r="B767" s="1"/>
      <c r="C767" s="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7"/>
      <c r="B768" s="1"/>
      <c r="C768" s="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7"/>
      <c r="B769" s="1"/>
      <c r="C769" s="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7"/>
      <c r="B770" s="1"/>
      <c r="C770" s="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7"/>
      <c r="B771" s="1"/>
      <c r="C771" s="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7"/>
      <c r="B772" s="1"/>
      <c r="C772" s="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7"/>
      <c r="B773" s="1"/>
      <c r="C773" s="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7"/>
      <c r="B774" s="1"/>
      <c r="C774" s="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7"/>
      <c r="B775" s="1"/>
      <c r="C775" s="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7"/>
      <c r="B776" s="1"/>
      <c r="C776" s="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7"/>
      <c r="B777" s="1"/>
      <c r="C777" s="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7"/>
      <c r="B778" s="1"/>
      <c r="C778" s="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7"/>
      <c r="B779" s="1"/>
      <c r="C779" s="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7"/>
      <c r="B780" s="1"/>
      <c r="C780" s="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7"/>
      <c r="B781" s="1"/>
      <c r="C781" s="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7"/>
      <c r="B782" s="1"/>
      <c r="C782" s="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7"/>
      <c r="B783" s="1"/>
      <c r="C783" s="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7"/>
      <c r="B784" s="1"/>
      <c r="C784" s="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7"/>
      <c r="B785" s="1"/>
      <c r="C785" s="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7"/>
      <c r="B786" s="1"/>
      <c r="C786" s="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7"/>
      <c r="B787" s="1"/>
      <c r="C787" s="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7"/>
      <c r="B788" s="1"/>
      <c r="C788" s="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7"/>
      <c r="B789" s="1"/>
      <c r="C789" s="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7"/>
      <c r="B790" s="1"/>
      <c r="C790" s="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7"/>
      <c r="B791" s="1"/>
      <c r="C791" s="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7"/>
      <c r="B792" s="1"/>
      <c r="C792" s="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7"/>
      <c r="B793" s="1"/>
      <c r="C793" s="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7"/>
      <c r="B794" s="1"/>
      <c r="C794" s="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7"/>
      <c r="B795" s="1"/>
      <c r="C795" s="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7"/>
      <c r="B796" s="1"/>
      <c r="C796" s="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7"/>
      <c r="B797" s="1"/>
      <c r="C797" s="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7"/>
      <c r="B798" s="1"/>
      <c r="C798" s="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7"/>
      <c r="B799" s="1"/>
      <c r="C799" s="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7"/>
      <c r="B800" s="1"/>
      <c r="C800" s="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7"/>
      <c r="B801" s="1"/>
      <c r="C801" s="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7"/>
      <c r="B802" s="1"/>
      <c r="C802" s="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7"/>
      <c r="B803" s="1"/>
      <c r="C803" s="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7"/>
      <c r="B804" s="1"/>
      <c r="C804" s="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7"/>
      <c r="B805" s="1"/>
      <c r="C805" s="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7"/>
      <c r="B806" s="1"/>
      <c r="C806" s="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7"/>
      <c r="B807" s="1"/>
      <c r="C807" s="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7"/>
      <c r="B808" s="1"/>
      <c r="C808" s="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7"/>
      <c r="B809" s="1"/>
      <c r="C809" s="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7"/>
      <c r="B810" s="1"/>
      <c r="C810" s="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7"/>
      <c r="B811" s="1"/>
      <c r="C811" s="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7"/>
      <c r="B812" s="1"/>
      <c r="C812" s="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7"/>
      <c r="B813" s="1"/>
      <c r="C813" s="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7"/>
      <c r="B814" s="1"/>
      <c r="C814" s="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7"/>
      <c r="B815" s="1"/>
      <c r="C815" s="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7"/>
      <c r="B816" s="1"/>
      <c r="C816" s="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7"/>
      <c r="B817" s="1"/>
      <c r="C817" s="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7"/>
      <c r="B818" s="1"/>
      <c r="C818" s="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7"/>
      <c r="B819" s="1"/>
      <c r="C819" s="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7"/>
      <c r="B820" s="1"/>
      <c r="C820" s="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7"/>
      <c r="B821" s="1"/>
      <c r="C821" s="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7"/>
      <c r="B822" s="1"/>
      <c r="C822" s="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7"/>
      <c r="B823" s="1"/>
      <c r="C823" s="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7"/>
      <c r="B824" s="1"/>
      <c r="C824" s="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7"/>
      <c r="B825" s="1"/>
      <c r="C825" s="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7"/>
      <c r="B826" s="1"/>
      <c r="C826" s="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7"/>
      <c r="B827" s="1"/>
      <c r="C827" s="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7"/>
      <c r="B828" s="1"/>
      <c r="C828" s="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7"/>
      <c r="B829" s="1"/>
      <c r="C829" s="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7"/>
      <c r="B830" s="1"/>
      <c r="C830" s="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7"/>
      <c r="B831" s="1"/>
      <c r="C831" s="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7"/>
      <c r="B832" s="1"/>
      <c r="C832" s="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7"/>
      <c r="B833" s="1"/>
      <c r="C833" s="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7"/>
      <c r="B834" s="1"/>
      <c r="C834" s="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7"/>
      <c r="B835" s="1"/>
      <c r="C835" s="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7"/>
      <c r="B836" s="1"/>
      <c r="C836" s="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7"/>
      <c r="B837" s="1"/>
      <c r="C837" s="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7"/>
      <c r="B838" s="1"/>
      <c r="C838" s="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7"/>
      <c r="B839" s="1"/>
      <c r="C839" s="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7"/>
      <c r="B840" s="1"/>
      <c r="C840" s="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7"/>
      <c r="B841" s="1"/>
      <c r="C841" s="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7"/>
      <c r="B842" s="1"/>
      <c r="C842" s="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7"/>
      <c r="B843" s="1"/>
      <c r="C843" s="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7"/>
      <c r="B844" s="1"/>
      <c r="C844" s="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7"/>
      <c r="B845" s="1"/>
      <c r="C845" s="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7"/>
      <c r="B846" s="1"/>
      <c r="C846" s="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7"/>
      <c r="B847" s="1"/>
      <c r="C847" s="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7"/>
      <c r="B848" s="1"/>
      <c r="C848" s="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7"/>
      <c r="B849" s="1"/>
      <c r="C849" s="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7"/>
      <c r="B850" s="1"/>
      <c r="C850" s="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7"/>
      <c r="B851" s="1"/>
      <c r="C851" s="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7"/>
      <c r="B852" s="1"/>
      <c r="C852" s="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7"/>
      <c r="B853" s="1"/>
      <c r="C853" s="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7"/>
      <c r="B854" s="1"/>
      <c r="C854" s="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7"/>
      <c r="B855" s="1"/>
      <c r="C855" s="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7"/>
      <c r="B856" s="1"/>
      <c r="C856" s="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7"/>
      <c r="B857" s="1"/>
      <c r="C857" s="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7"/>
      <c r="B858" s="1"/>
      <c r="C858" s="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7"/>
      <c r="B859" s="1"/>
      <c r="C859" s="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7"/>
      <c r="B860" s="1"/>
      <c r="C860" s="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7"/>
      <c r="B861" s="1"/>
      <c r="C861" s="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7"/>
      <c r="B862" s="1"/>
      <c r="C862" s="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7"/>
      <c r="B863" s="1"/>
      <c r="C863" s="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7"/>
      <c r="B864" s="1"/>
      <c r="C864" s="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7"/>
      <c r="B865" s="1"/>
      <c r="C865" s="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7"/>
      <c r="B866" s="1"/>
      <c r="C866" s="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7"/>
      <c r="B867" s="1"/>
      <c r="C867" s="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7"/>
      <c r="B868" s="1"/>
      <c r="C868" s="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7"/>
      <c r="B869" s="1"/>
      <c r="C869" s="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7"/>
      <c r="B870" s="1"/>
      <c r="C870" s="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7"/>
      <c r="B871" s="1"/>
      <c r="C871" s="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7"/>
      <c r="B872" s="1"/>
      <c r="C872" s="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7"/>
      <c r="B873" s="1"/>
      <c r="C873" s="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7"/>
      <c r="B874" s="1"/>
      <c r="C874" s="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7"/>
      <c r="B875" s="1"/>
      <c r="C875" s="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7"/>
      <c r="B876" s="1"/>
      <c r="C876" s="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7"/>
      <c r="B877" s="1"/>
      <c r="C877" s="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7"/>
      <c r="B878" s="1"/>
      <c r="C878" s="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7"/>
      <c r="B879" s="1"/>
      <c r="C879" s="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7"/>
      <c r="B880" s="1"/>
      <c r="C880" s="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7"/>
      <c r="B881" s="1"/>
      <c r="C881" s="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7"/>
      <c r="B882" s="1"/>
      <c r="C882" s="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7"/>
      <c r="B883" s="1"/>
      <c r="C883" s="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7"/>
      <c r="B884" s="1"/>
      <c r="C884" s="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7"/>
      <c r="B885" s="1"/>
      <c r="C885" s="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7"/>
      <c r="B886" s="1"/>
      <c r="C886" s="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7"/>
      <c r="B887" s="1"/>
      <c r="C887" s="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7"/>
      <c r="B888" s="1"/>
      <c r="C888" s="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7"/>
      <c r="B889" s="1"/>
      <c r="C889" s="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7"/>
      <c r="B890" s="1"/>
      <c r="C890" s="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7"/>
      <c r="B891" s="1"/>
      <c r="C891" s="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7"/>
      <c r="B892" s="1"/>
      <c r="C892" s="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7"/>
      <c r="B893" s="1"/>
      <c r="C893" s="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7"/>
      <c r="B894" s="1"/>
      <c r="C894" s="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7"/>
      <c r="B895" s="1"/>
      <c r="C895" s="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7"/>
      <c r="B896" s="1"/>
      <c r="C896" s="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7"/>
      <c r="B897" s="1"/>
      <c r="C897" s="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7"/>
      <c r="B898" s="1"/>
      <c r="C898" s="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7"/>
      <c r="B899" s="1"/>
      <c r="C899" s="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7"/>
      <c r="B900" s="1"/>
      <c r="C900" s="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7"/>
      <c r="B901" s="1"/>
      <c r="C901" s="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7"/>
      <c r="B902" s="1"/>
      <c r="C902" s="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7"/>
      <c r="B903" s="1"/>
      <c r="C903" s="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7"/>
      <c r="B904" s="1"/>
      <c r="C904" s="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7"/>
      <c r="B905" s="1"/>
      <c r="C905" s="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7"/>
      <c r="B906" s="1"/>
      <c r="C906" s="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7"/>
      <c r="B907" s="1"/>
      <c r="C907" s="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7"/>
      <c r="B908" s="1"/>
      <c r="C908" s="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7"/>
      <c r="B909" s="1"/>
      <c r="C909" s="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7"/>
      <c r="B910" s="1"/>
      <c r="C910" s="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7"/>
      <c r="B911" s="1"/>
      <c r="C911" s="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7"/>
      <c r="B912" s="1"/>
      <c r="C912" s="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7"/>
      <c r="B913" s="1"/>
      <c r="C913" s="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7"/>
      <c r="B914" s="1"/>
      <c r="C914" s="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7"/>
      <c r="B915" s="1"/>
      <c r="C915" s="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7"/>
      <c r="B916" s="1"/>
      <c r="C916" s="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7"/>
      <c r="B917" s="1"/>
      <c r="C917" s="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7"/>
      <c r="B918" s="1"/>
      <c r="C918" s="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7"/>
      <c r="B919" s="1"/>
      <c r="C919" s="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7"/>
      <c r="B920" s="1"/>
      <c r="C920" s="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7"/>
      <c r="B921" s="1"/>
      <c r="C921" s="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7"/>
      <c r="B922" s="1"/>
      <c r="C922" s="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7"/>
      <c r="B923" s="1"/>
      <c r="C923" s="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7"/>
      <c r="B924" s="1"/>
      <c r="C924" s="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7"/>
      <c r="B925" s="1"/>
      <c r="C925" s="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7"/>
      <c r="B926" s="1"/>
      <c r="C926" s="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7"/>
      <c r="B927" s="1"/>
      <c r="C927" s="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7"/>
      <c r="B928" s="1"/>
      <c r="C928" s="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7"/>
      <c r="B929" s="1"/>
      <c r="C929" s="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7"/>
      <c r="B930" s="1"/>
      <c r="C930" s="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7"/>
      <c r="B931" s="1"/>
      <c r="C931" s="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7"/>
      <c r="B932" s="1"/>
      <c r="C932" s="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7"/>
      <c r="B933" s="1"/>
      <c r="C933" s="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7"/>
      <c r="B934" s="1"/>
      <c r="C934" s="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7"/>
      <c r="B935" s="1"/>
      <c r="C935" s="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7"/>
      <c r="B936" s="1"/>
      <c r="C936" s="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7"/>
      <c r="B937" s="1"/>
      <c r="C937" s="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7"/>
      <c r="B938" s="1"/>
      <c r="C938" s="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7"/>
      <c r="B939" s="1"/>
      <c r="C939" s="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7"/>
      <c r="B940" s="1"/>
      <c r="C940" s="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7"/>
      <c r="B941" s="1"/>
      <c r="C941" s="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7"/>
      <c r="B942" s="1"/>
      <c r="C942" s="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7"/>
      <c r="B943" s="1"/>
      <c r="C943" s="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7"/>
      <c r="B944" s="1"/>
      <c r="C944" s="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7"/>
      <c r="B945" s="1"/>
      <c r="C945" s="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7"/>
      <c r="B946" s="1"/>
      <c r="C946" s="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7"/>
      <c r="B947" s="1"/>
      <c r="C947" s="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7"/>
      <c r="B948" s="1"/>
      <c r="C948" s="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7"/>
      <c r="B949" s="1"/>
      <c r="C949" s="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7"/>
      <c r="B950" s="1"/>
      <c r="C950" s="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7"/>
      <c r="B951" s="1"/>
      <c r="C951" s="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7"/>
      <c r="B952" s="1"/>
      <c r="C952" s="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7"/>
      <c r="B953" s="1"/>
      <c r="C953" s="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7"/>
      <c r="B954" s="1"/>
      <c r="C954" s="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7"/>
      <c r="B955" s="1"/>
      <c r="C955" s="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7"/>
      <c r="B956" s="1"/>
      <c r="C956" s="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7"/>
      <c r="B957" s="1"/>
      <c r="C957" s="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7"/>
      <c r="B958" s="1"/>
      <c r="C958" s="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7"/>
      <c r="B959" s="1"/>
      <c r="C959" s="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7"/>
      <c r="B960" s="1"/>
      <c r="C960" s="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7"/>
      <c r="B961" s="1"/>
      <c r="C961" s="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7"/>
      <c r="B962" s="1"/>
      <c r="C962" s="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7"/>
      <c r="B963" s="1"/>
      <c r="C963" s="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7"/>
      <c r="B964" s="1"/>
      <c r="C964" s="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7"/>
      <c r="B965" s="1"/>
      <c r="C965" s="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7"/>
      <c r="B966" s="1"/>
      <c r="C966" s="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7"/>
      <c r="B967" s="1"/>
      <c r="C967" s="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7"/>
      <c r="B968" s="1"/>
      <c r="C968" s="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7"/>
      <c r="B969" s="1"/>
      <c r="C969" s="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7"/>
      <c r="B970" s="1"/>
      <c r="C970" s="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7"/>
      <c r="B971" s="1"/>
      <c r="C971" s="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7"/>
      <c r="B972" s="1"/>
      <c r="C972" s="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7"/>
      <c r="B973" s="1"/>
      <c r="C973" s="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7"/>
      <c r="B974" s="1"/>
      <c r="C974" s="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7"/>
      <c r="B975" s="1"/>
      <c r="C975" s="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7"/>
      <c r="B976" s="1"/>
      <c r="C976" s="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7"/>
      <c r="B977" s="1"/>
      <c r="C977" s="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7"/>
      <c r="B978" s="1"/>
      <c r="C978" s="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7"/>
      <c r="B979" s="1"/>
      <c r="C979" s="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7"/>
      <c r="B980" s="1"/>
      <c r="C980" s="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7"/>
      <c r="B981" s="1"/>
      <c r="C981" s="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7"/>
      <c r="B982" s="1"/>
      <c r="C982" s="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7"/>
      <c r="B983" s="1"/>
      <c r="C983" s="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7"/>
      <c r="B984" s="1"/>
      <c r="C984" s="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7"/>
      <c r="B985" s="1"/>
      <c r="C985" s="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7"/>
      <c r="B986" s="1"/>
      <c r="C986" s="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7"/>
      <c r="B987" s="1"/>
      <c r="C987" s="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7"/>
      <c r="B988" s="1"/>
      <c r="C988" s="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7"/>
      <c r="B989" s="1"/>
      <c r="C989" s="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7"/>
      <c r="B990" s="1"/>
      <c r="C990" s="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7"/>
      <c r="B991" s="1"/>
      <c r="C991" s="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7"/>
      <c r="B992" s="1"/>
      <c r="C992" s="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7"/>
      <c r="B993" s="1"/>
      <c r="C993" s="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7"/>
      <c r="B994" s="1"/>
      <c r="C994" s="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7"/>
      <c r="B995" s="1"/>
      <c r="C995" s="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7"/>
      <c r="B996" s="1"/>
      <c r="C996" s="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7"/>
      <c r="B997" s="1"/>
      <c r="C997" s="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7"/>
      <c r="B998" s="1"/>
      <c r="C998" s="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7"/>
      <c r="B999" s="1"/>
      <c r="C999" s="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7"/>
      <c r="B1000" s="1"/>
      <c r="C1000" s="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0" customHeight="1">
      <c r="A1001" s="7"/>
      <c r="B1001" s="1"/>
      <c r="C1001" s="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0" customHeight="1">
      <c r="A1002" s="7"/>
      <c r="B1002" s="1"/>
      <c r="C1002" s="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0" customHeight="1">
      <c r="A1003" s="7"/>
      <c r="B1003" s="1"/>
      <c r="C1003" s="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0" customHeight="1">
      <c r="A1004" s="7"/>
      <c r="B1004" s="1"/>
      <c r="C1004" s="8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0" customHeight="1">
      <c r="A1005" s="7"/>
      <c r="B1005" s="1"/>
      <c r="C1005" s="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0" customHeight="1">
      <c r="A1006" s="7"/>
      <c r="B1006" s="1"/>
      <c r="C1006" s="8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0" customHeight="1">
      <c r="A1007" s="7"/>
      <c r="B1007" s="1"/>
      <c r="C1007" s="8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0" customHeight="1">
      <c r="A1008" s="7"/>
      <c r="B1008" s="1"/>
      <c r="C1008" s="8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0" customHeight="1">
      <c r="A1009" s="7"/>
      <c r="B1009" s="1"/>
      <c r="C1009" s="8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0" customHeight="1">
      <c r="A1010" s="7"/>
      <c r="B1010" s="1"/>
      <c r="C1010" s="8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2.0" customHeight="1">
      <c r="A1011" s="7"/>
      <c r="B1011" s="1"/>
      <c r="C1011" s="8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2.0" customHeight="1">
      <c r="A1012" s="7"/>
      <c r="B1012" s="1"/>
      <c r="C1012" s="8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0" customHeight="1">
      <c r="A1013" s="7"/>
      <c r="B1013" s="1"/>
      <c r="C1013" s="8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2.0" customHeight="1">
      <c r="A1014" s="7"/>
      <c r="B1014" s="1"/>
      <c r="C1014" s="8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2.0" customHeight="1">
      <c r="A1015" s="7"/>
      <c r="B1015" s="1"/>
      <c r="C1015" s="8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2.0" customHeight="1">
      <c r="A1016" s="7"/>
      <c r="B1016" s="1"/>
      <c r="C1016" s="8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2.0" customHeight="1">
      <c r="A1017" s="7"/>
      <c r="B1017" s="1"/>
      <c r="C1017" s="8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63"/>
    <col customWidth="1" min="3" max="3" width="13.25"/>
  </cols>
  <sheetData>
    <row r="1" ht="12.0" customHeight="1">
      <c r="A1" s="7"/>
      <c r="B1" s="1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7"/>
      <c r="B2" s="12" t="s">
        <v>63</v>
      </c>
      <c r="C2" s="10"/>
      <c r="D2" s="13"/>
      <c r="E2" s="1"/>
      <c r="F2" s="12"/>
      <c r="G2" s="1"/>
      <c r="H2" s="1"/>
      <c r="I2" s="1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7"/>
      <c r="B3" s="13" t="s">
        <v>28</v>
      </c>
      <c r="C3" s="15"/>
      <c r="D3" s="13"/>
      <c r="E3" s="1"/>
      <c r="F3" s="12"/>
      <c r="G3" s="1"/>
      <c r="H3" s="1"/>
      <c r="I3" s="1"/>
      <c r="J3" s="1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7"/>
      <c r="B4" s="13" t="s">
        <v>64</v>
      </c>
      <c r="C4" s="15">
        <f>-IRR!C27</f>
        <v>-0.1</v>
      </c>
      <c r="D4" s="13"/>
      <c r="E4" s="1"/>
      <c r="F4" s="12"/>
      <c r="G4" s="1"/>
      <c r="H4" s="1"/>
      <c r="I4" s="1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7"/>
      <c r="B5" s="13" t="s">
        <v>65</v>
      </c>
      <c r="C5" s="10"/>
      <c r="D5" s="13"/>
      <c r="E5" s="1"/>
      <c r="F5" s="12"/>
      <c r="G5" s="1"/>
      <c r="H5" s="1"/>
      <c r="I5" s="1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13"/>
      <c r="C6" s="10"/>
      <c r="D6" s="13"/>
      <c r="E6" s="1"/>
      <c r="F6" s="12"/>
      <c r="G6" s="1"/>
      <c r="H6" s="1"/>
      <c r="I6" s="1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7"/>
      <c r="B7" s="13"/>
      <c r="C7" s="10"/>
      <c r="D7" s="13"/>
      <c r="E7" s="1"/>
      <c r="F7" s="12"/>
      <c r="G7" s="1"/>
      <c r="H7" s="1"/>
      <c r="I7" s="1"/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7"/>
      <c r="B8" s="13"/>
      <c r="C8" s="10"/>
      <c r="D8" s="13"/>
      <c r="E8" s="1"/>
      <c r="F8" s="12"/>
      <c r="G8" s="1"/>
      <c r="H8" s="1"/>
      <c r="I8" s="1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7"/>
      <c r="B9" s="9" t="s">
        <v>13</v>
      </c>
      <c r="C9" s="10">
        <v>1.0E7</v>
      </c>
      <c r="D9" s="11" t="s">
        <v>14</v>
      </c>
      <c r="E9" s="1"/>
      <c r="F9" s="12" t="s">
        <v>15</v>
      </c>
      <c r="G9" s="1"/>
      <c r="H9" s="1"/>
      <c r="I9" s="1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7"/>
      <c r="B10" s="9" t="s">
        <v>16</v>
      </c>
      <c r="C10" s="10">
        <v>200000.0</v>
      </c>
      <c r="D10" s="11" t="s">
        <v>14</v>
      </c>
      <c r="E10" s="1"/>
      <c r="F10" s="13" t="s">
        <v>17</v>
      </c>
      <c r="G10" s="10">
        <v>1000000.0</v>
      </c>
      <c r="H10" s="14" t="s">
        <v>18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7"/>
      <c r="B11" s="9" t="s">
        <v>19</v>
      </c>
      <c r="C11" s="10">
        <v>1000000.0</v>
      </c>
      <c r="D11" s="11" t="s">
        <v>14</v>
      </c>
      <c r="E11" s="1"/>
      <c r="F11" s="13" t="s">
        <v>20</v>
      </c>
      <c r="G11" s="10">
        <v>2000000.0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7"/>
      <c r="B12" s="9" t="s">
        <v>21</v>
      </c>
      <c r="C12" s="10">
        <v>5.0</v>
      </c>
      <c r="D12" s="11" t="s">
        <v>22</v>
      </c>
      <c r="E12" s="1"/>
      <c r="F12" s="13" t="s">
        <v>23</v>
      </c>
      <c r="G12" s="10">
        <v>3000000.0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7"/>
      <c r="B13" s="9" t="s">
        <v>24</v>
      </c>
      <c r="C13" s="10">
        <v>4000000.0</v>
      </c>
      <c r="D13" s="11" t="s">
        <v>14</v>
      </c>
      <c r="E13" s="1"/>
      <c r="F13" s="13" t="s">
        <v>25</v>
      </c>
      <c r="G13" s="10">
        <v>4000000.0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7"/>
      <c r="B14" s="9" t="s">
        <v>26</v>
      </c>
      <c r="C14" s="15">
        <v>0.22</v>
      </c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7"/>
      <c r="B15" s="9" t="s">
        <v>27</v>
      </c>
      <c r="C15" s="15">
        <v>0.2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7"/>
      <c r="B16" s="1"/>
      <c r="C16" s="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7"/>
      <c r="B17" s="1"/>
      <c r="C17" s="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7"/>
      <c r="B18" s="19"/>
      <c r="C18" s="20">
        <v>0.0</v>
      </c>
      <c r="D18" s="21">
        <v>1.0</v>
      </c>
      <c r="E18" s="21">
        <v>2.0</v>
      </c>
      <c r="F18" s="21">
        <v>3.0</v>
      </c>
      <c r="G18" s="21">
        <v>4.0</v>
      </c>
      <c r="H18" s="21">
        <v>5.0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7"/>
      <c r="B19" s="9" t="s">
        <v>28</v>
      </c>
      <c r="C19" s="22"/>
      <c r="D19" s="22">
        <f t="shared" ref="D19:H19" si="1">(1+$C$3)*$C$13</f>
        <v>4000000</v>
      </c>
      <c r="E19" s="22">
        <f t="shared" si="1"/>
        <v>4000000</v>
      </c>
      <c r="F19" s="22">
        <f t="shared" si="1"/>
        <v>4000000</v>
      </c>
      <c r="G19" s="22">
        <f t="shared" si="1"/>
        <v>4000000</v>
      </c>
      <c r="H19" s="22">
        <f t="shared" si="1"/>
        <v>4000000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7"/>
      <c r="B20" s="23" t="s">
        <v>29</v>
      </c>
      <c r="C20" s="24"/>
      <c r="D20" s="24">
        <f t="shared" ref="D20:H20" si="2">-$C$9/$C$12</f>
        <v>-2000000</v>
      </c>
      <c r="E20" s="24">
        <f t="shared" si="2"/>
        <v>-2000000</v>
      </c>
      <c r="F20" s="24">
        <f t="shared" si="2"/>
        <v>-2000000</v>
      </c>
      <c r="G20" s="24">
        <f t="shared" si="2"/>
        <v>-2000000</v>
      </c>
      <c r="H20" s="24">
        <f t="shared" si="2"/>
        <v>-2000000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7"/>
      <c r="B21" s="9" t="s">
        <v>30</v>
      </c>
      <c r="C21" s="22"/>
      <c r="D21" s="22">
        <f t="shared" ref="D21:H21" si="3">sum(D19:D20)</f>
        <v>2000000</v>
      </c>
      <c r="E21" s="22">
        <f t="shared" si="3"/>
        <v>2000000</v>
      </c>
      <c r="F21" s="22">
        <f t="shared" si="3"/>
        <v>2000000</v>
      </c>
      <c r="G21" s="22">
        <f t="shared" si="3"/>
        <v>2000000</v>
      </c>
      <c r="H21" s="22">
        <f t="shared" si="3"/>
        <v>2000000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7"/>
      <c r="B22" s="23" t="s">
        <v>31</v>
      </c>
      <c r="C22" s="24"/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7"/>
      <c r="B23" s="9" t="s">
        <v>32</v>
      </c>
      <c r="C23" s="22"/>
      <c r="D23" s="22">
        <f t="shared" ref="D23:H23" si="4">sum(D21:D22)</f>
        <v>2000000</v>
      </c>
      <c r="E23" s="22">
        <f t="shared" si="4"/>
        <v>2000000</v>
      </c>
      <c r="F23" s="22">
        <f t="shared" si="4"/>
        <v>2000000</v>
      </c>
      <c r="G23" s="22">
        <f t="shared" si="4"/>
        <v>2000000</v>
      </c>
      <c r="H23" s="22">
        <f t="shared" si="4"/>
        <v>2000000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7"/>
      <c r="B24" s="23" t="s">
        <v>33</v>
      </c>
      <c r="C24" s="24"/>
      <c r="D24" s="24">
        <f t="shared" ref="D24:H24" si="5">-$C$14*D23</f>
        <v>-440000</v>
      </c>
      <c r="E24" s="24">
        <f t="shared" si="5"/>
        <v>-440000</v>
      </c>
      <c r="F24" s="24">
        <f t="shared" si="5"/>
        <v>-440000</v>
      </c>
      <c r="G24" s="24">
        <f t="shared" si="5"/>
        <v>-440000</v>
      </c>
      <c r="H24" s="24">
        <f t="shared" si="5"/>
        <v>-440000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7"/>
      <c r="B25" s="9" t="s">
        <v>34</v>
      </c>
      <c r="C25" s="22"/>
      <c r="D25" s="22">
        <f t="shared" ref="D25:H25" si="6">sum(D23:D24)</f>
        <v>1560000</v>
      </c>
      <c r="E25" s="22">
        <f t="shared" si="6"/>
        <v>1560000</v>
      </c>
      <c r="F25" s="22">
        <f t="shared" si="6"/>
        <v>1560000</v>
      </c>
      <c r="G25" s="22">
        <f t="shared" si="6"/>
        <v>1560000</v>
      </c>
      <c r="H25" s="22">
        <f t="shared" si="6"/>
        <v>1560000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7"/>
      <c r="B26" s="23" t="s">
        <v>35</v>
      </c>
      <c r="C26" s="24"/>
      <c r="D26" s="24">
        <f t="shared" ref="D26:H26" si="7">-D20</f>
        <v>2000000</v>
      </c>
      <c r="E26" s="24">
        <f t="shared" si="7"/>
        <v>2000000</v>
      </c>
      <c r="F26" s="24">
        <f t="shared" si="7"/>
        <v>2000000</v>
      </c>
      <c r="G26" s="24">
        <f t="shared" si="7"/>
        <v>2000000</v>
      </c>
      <c r="H26" s="24">
        <f t="shared" si="7"/>
        <v>2000000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7"/>
      <c r="B27" s="9" t="s">
        <v>36</v>
      </c>
      <c r="C27" s="22"/>
      <c r="D27" s="22">
        <f t="shared" ref="D27:H27" si="8">sum(D25:D26)</f>
        <v>3560000</v>
      </c>
      <c r="E27" s="22">
        <f t="shared" si="8"/>
        <v>3560000</v>
      </c>
      <c r="F27" s="22">
        <f t="shared" si="8"/>
        <v>3560000</v>
      </c>
      <c r="G27" s="22">
        <f t="shared" si="8"/>
        <v>3560000</v>
      </c>
      <c r="H27" s="22">
        <f t="shared" si="8"/>
        <v>3560000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7"/>
      <c r="B28" s="23" t="s">
        <v>37</v>
      </c>
      <c r="C28" s="24"/>
      <c r="D28" s="24"/>
      <c r="E28" s="24"/>
      <c r="F28" s="24"/>
      <c r="G28" s="24"/>
      <c r="H28" s="24">
        <f>C54</f>
        <v>6340000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7"/>
      <c r="B29" s="9" t="s">
        <v>38</v>
      </c>
      <c r="C29" s="22">
        <f>C41</f>
        <v>-12156000</v>
      </c>
      <c r="D29" s="22">
        <f t="shared" ref="D29:H29" si="9">sum(D27:D28)</f>
        <v>3560000</v>
      </c>
      <c r="E29" s="22">
        <f t="shared" si="9"/>
        <v>3560000</v>
      </c>
      <c r="F29" s="22">
        <f t="shared" si="9"/>
        <v>3560000</v>
      </c>
      <c r="G29" s="22">
        <f t="shared" si="9"/>
        <v>3560000</v>
      </c>
      <c r="H29" s="22">
        <f t="shared" si="9"/>
        <v>9900000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7"/>
      <c r="B30" s="9" t="s">
        <v>39</v>
      </c>
      <c r="C30" s="25">
        <f>irr(C29:H29)</f>
        <v>0.232540582</v>
      </c>
      <c r="D30" s="22"/>
      <c r="E30" s="22"/>
      <c r="F30" s="22"/>
      <c r="G30" s="22"/>
      <c r="H30" s="2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7"/>
      <c r="B31" s="9" t="str">
        <f>"NPV at "&amp;text(C15,"##,00%")</f>
        <v>NPV at 20%</v>
      </c>
      <c r="C31" s="22">
        <f t="array" ref="C31">npv(C15,C29:H29)</f>
        <v>865402.5206</v>
      </c>
      <c r="D31" s="8"/>
      <c r="E31" s="8"/>
      <c r="F31" s="8"/>
      <c r="G31" s="8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7"/>
      <c r="B32" s="1"/>
      <c r="C32" s="8"/>
      <c r="D32" s="8"/>
      <c r="E32" s="8"/>
      <c r="F32" s="8"/>
      <c r="G32" s="8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7"/>
      <c r="B33" s="1"/>
      <c r="C33" s="8"/>
      <c r="D33" s="8"/>
      <c r="E33" s="8"/>
      <c r="F33" s="8"/>
      <c r="G33" s="8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7"/>
      <c r="B34" s="27" t="s">
        <v>46</v>
      </c>
      <c r="C34" s="2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29" t="s">
        <v>47</v>
      </c>
      <c r="B35" s="11" t="s">
        <v>48</v>
      </c>
      <c r="C35" s="30">
        <v>0.0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29" t="s">
        <v>47</v>
      </c>
      <c r="B36" s="11" t="s">
        <v>13</v>
      </c>
      <c r="C36" s="28">
        <f>-(C9*(1+C4))</f>
        <v>-9000000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29" t="s">
        <v>47</v>
      </c>
      <c r="B37" s="11" t="s">
        <v>16</v>
      </c>
      <c r="C37" s="28">
        <f>-C10</f>
        <v>-200000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29" t="s">
        <v>47</v>
      </c>
      <c r="B38" s="11" t="s">
        <v>49</v>
      </c>
      <c r="C38" s="28">
        <f>-C14*C37</f>
        <v>44000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29" t="s">
        <v>47</v>
      </c>
      <c r="B39" s="11" t="s">
        <v>19</v>
      </c>
      <c r="C39" s="28">
        <f>-C11</f>
        <v>-1000000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29" t="s">
        <v>47</v>
      </c>
      <c r="B40" s="31" t="s">
        <v>50</v>
      </c>
      <c r="C40" s="32">
        <f>-G11</f>
        <v>-2000000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7"/>
      <c r="B41" s="11" t="s">
        <v>51</v>
      </c>
      <c r="C41" s="28">
        <f>sum(C35:C40)</f>
        <v>-12156000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7"/>
      <c r="B42" s="1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7"/>
      <c r="B43" s="1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7"/>
      <c r="B44" s="27" t="s">
        <v>52</v>
      </c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7"/>
      <c r="B45" s="11" t="s">
        <v>53</v>
      </c>
      <c r="C45" s="28">
        <f>C9</f>
        <v>10000000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7"/>
      <c r="B46" s="11" t="s">
        <v>54</v>
      </c>
      <c r="C46" s="28">
        <f>-C9/C12*5</f>
        <v>-10000000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7"/>
      <c r="B47" s="31" t="s">
        <v>55</v>
      </c>
      <c r="C47" s="32">
        <f>sum(C45:C46)</f>
        <v>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7"/>
      <c r="B48" s="31" t="s">
        <v>56</v>
      </c>
      <c r="C48" s="34">
        <v>3000000.0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7"/>
      <c r="B49" s="11" t="s">
        <v>57</v>
      </c>
      <c r="C49" s="28">
        <f>C48-C47</f>
        <v>3000000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7"/>
      <c r="B50" s="31" t="s">
        <v>58</v>
      </c>
      <c r="C50" s="32">
        <f>-C14*C49</f>
        <v>-660000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7"/>
      <c r="B51" s="11" t="s">
        <v>59</v>
      </c>
      <c r="C51" s="28">
        <f>sum(C49:C50)</f>
        <v>2340000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7"/>
      <c r="B52" s="11" t="s">
        <v>60</v>
      </c>
      <c r="C52" s="30">
        <f>C11</f>
        <v>1000000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7"/>
      <c r="B53" s="31" t="s">
        <v>61</v>
      </c>
      <c r="C53" s="32">
        <f>G12</f>
        <v>3000000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7"/>
      <c r="B54" s="11" t="s">
        <v>62</v>
      </c>
      <c r="C54" s="28">
        <f>sum(C51:C53)</f>
        <v>6340000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7"/>
      <c r="B55" s="1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7"/>
      <c r="B56" s="1"/>
      <c r="C56" s="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7"/>
      <c r="B57" s="1"/>
      <c r="C57" s="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7"/>
      <c r="B58" s="1"/>
      <c r="C58" s="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7"/>
      <c r="B59" s="1"/>
      <c r="C59" s="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7"/>
      <c r="B60" s="1"/>
      <c r="C60" s="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7"/>
      <c r="B61" s="1"/>
      <c r="C61" s="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7"/>
      <c r="B62" s="1"/>
      <c r="C62" s="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7"/>
      <c r="B63" s="1"/>
      <c r="C63" s="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7"/>
      <c r="B64" s="1"/>
      <c r="C64" s="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7"/>
      <c r="B65" s="1"/>
      <c r="C65" s="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7"/>
      <c r="B66" s="1"/>
      <c r="C66" s="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7"/>
      <c r="B67" s="1"/>
      <c r="C67" s="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7"/>
      <c r="B68" s="1"/>
      <c r="C68" s="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7"/>
      <c r="B69" s="1"/>
      <c r="C69" s="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7"/>
      <c r="B70" s="1"/>
      <c r="C70" s="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7"/>
      <c r="B71" s="1"/>
      <c r="C71" s="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7"/>
      <c r="B72" s="1"/>
      <c r="C72" s="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7"/>
      <c r="B73" s="1"/>
      <c r="C73" s="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7"/>
      <c r="B74" s="1"/>
      <c r="C74" s="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7"/>
      <c r="B75" s="1"/>
      <c r="C75" s="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7"/>
      <c r="B76" s="1"/>
      <c r="C76" s="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7"/>
      <c r="B77" s="1"/>
      <c r="C77" s="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7"/>
      <c r="B78" s="1"/>
      <c r="C78" s="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7"/>
      <c r="B79" s="1"/>
      <c r="C79" s="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7"/>
      <c r="B80" s="1"/>
      <c r="C80" s="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7"/>
      <c r="B81" s="1"/>
      <c r="C81" s="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7"/>
      <c r="B82" s="1"/>
      <c r="C82" s="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7"/>
      <c r="B83" s="1"/>
      <c r="C83" s="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7"/>
      <c r="B84" s="1"/>
      <c r="C84" s="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7"/>
      <c r="B85" s="1"/>
      <c r="C85" s="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7"/>
      <c r="B86" s="1"/>
      <c r="C86" s="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7"/>
      <c r="B87" s="1"/>
      <c r="C87" s="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7"/>
      <c r="B88" s="1"/>
      <c r="C88" s="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7"/>
      <c r="B89" s="1"/>
      <c r="C89" s="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7"/>
      <c r="B90" s="1"/>
      <c r="C90" s="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7"/>
      <c r="B91" s="1"/>
      <c r="C91" s="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7"/>
      <c r="B92" s="1"/>
      <c r="C92" s="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7"/>
      <c r="B93" s="1"/>
      <c r="C93" s="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7"/>
      <c r="B94" s="1"/>
      <c r="C94" s="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7"/>
      <c r="B95" s="1"/>
      <c r="C95" s="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7"/>
      <c r="B96" s="1"/>
      <c r="C96" s="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7"/>
      <c r="B97" s="1"/>
      <c r="C97" s="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7"/>
      <c r="B98" s="1"/>
      <c r="C98" s="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7"/>
      <c r="B99" s="1"/>
      <c r="C99" s="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7"/>
      <c r="B100" s="1"/>
      <c r="C100" s="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7"/>
      <c r="B101" s="1"/>
      <c r="C101" s="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7"/>
      <c r="B102" s="1"/>
      <c r="C102" s="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7"/>
      <c r="B103" s="1"/>
      <c r="C103" s="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7"/>
      <c r="B104" s="1"/>
      <c r="C104" s="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7"/>
      <c r="B105" s="1"/>
      <c r="C105" s="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7"/>
      <c r="B106" s="1"/>
      <c r="C106" s="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7"/>
      <c r="B107" s="1"/>
      <c r="C107" s="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7"/>
      <c r="B108" s="1"/>
      <c r="C108" s="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7"/>
      <c r="B109" s="1"/>
      <c r="C109" s="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7"/>
      <c r="B110" s="1"/>
      <c r="C110" s="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7"/>
      <c r="B111" s="1"/>
      <c r="C111" s="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7"/>
      <c r="B112" s="1"/>
      <c r="C112" s="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7"/>
      <c r="B113" s="1"/>
      <c r="C113" s="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7"/>
      <c r="B114" s="1"/>
      <c r="C114" s="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7"/>
      <c r="B115" s="1"/>
      <c r="C115" s="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7"/>
      <c r="B116" s="1"/>
      <c r="C116" s="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7"/>
      <c r="B117" s="1"/>
      <c r="C117" s="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7"/>
      <c r="B118" s="1"/>
      <c r="C118" s="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7"/>
      <c r="B119" s="1"/>
      <c r="C119" s="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7"/>
      <c r="B120" s="1"/>
      <c r="C120" s="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7"/>
      <c r="B121" s="1"/>
      <c r="C121" s="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7"/>
      <c r="B122" s="1"/>
      <c r="C122" s="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7"/>
      <c r="B123" s="1"/>
      <c r="C123" s="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7"/>
      <c r="B124" s="1"/>
      <c r="C124" s="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7"/>
      <c r="B125" s="1"/>
      <c r="C125" s="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7"/>
      <c r="B126" s="1"/>
      <c r="C126" s="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7"/>
      <c r="B127" s="1"/>
      <c r="C127" s="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7"/>
      <c r="B128" s="1"/>
      <c r="C128" s="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7"/>
      <c r="B129" s="1"/>
      <c r="C129" s="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7"/>
      <c r="B130" s="1"/>
      <c r="C130" s="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7"/>
      <c r="B131" s="1"/>
      <c r="C131" s="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7"/>
      <c r="B132" s="1"/>
      <c r="C132" s="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7"/>
      <c r="B133" s="1"/>
      <c r="C133" s="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7"/>
      <c r="B134" s="1"/>
      <c r="C134" s="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7"/>
      <c r="B135" s="1"/>
      <c r="C135" s="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7"/>
      <c r="B136" s="1"/>
      <c r="C136" s="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7"/>
      <c r="B137" s="1"/>
      <c r="C137" s="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7"/>
      <c r="B138" s="1"/>
      <c r="C138" s="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7"/>
      <c r="B139" s="1"/>
      <c r="C139" s="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7"/>
      <c r="B140" s="1"/>
      <c r="C140" s="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7"/>
      <c r="B141" s="1"/>
      <c r="C141" s="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7"/>
      <c r="B142" s="1"/>
      <c r="C142" s="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7"/>
      <c r="B143" s="1"/>
      <c r="C143" s="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7"/>
      <c r="B144" s="1"/>
      <c r="C144" s="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7"/>
      <c r="B145" s="1"/>
      <c r="C145" s="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7"/>
      <c r="B146" s="1"/>
      <c r="C146" s="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7"/>
      <c r="B147" s="1"/>
      <c r="C147" s="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7"/>
      <c r="B148" s="1"/>
      <c r="C148" s="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7"/>
      <c r="B149" s="1"/>
      <c r="C149" s="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7"/>
      <c r="B150" s="1"/>
      <c r="C150" s="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7"/>
      <c r="B151" s="1"/>
      <c r="C151" s="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7"/>
      <c r="B152" s="1"/>
      <c r="C152" s="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7"/>
      <c r="B153" s="1"/>
      <c r="C153" s="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7"/>
      <c r="B154" s="1"/>
      <c r="C154" s="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7"/>
      <c r="B155" s="1"/>
      <c r="C155" s="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7"/>
      <c r="B156" s="1"/>
      <c r="C156" s="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7"/>
      <c r="B157" s="1"/>
      <c r="C157" s="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7"/>
      <c r="B158" s="1"/>
      <c r="C158" s="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7"/>
      <c r="B159" s="1"/>
      <c r="C159" s="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7"/>
      <c r="B160" s="1"/>
      <c r="C160" s="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7"/>
      <c r="B161" s="1"/>
      <c r="C161" s="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7"/>
      <c r="B162" s="1"/>
      <c r="C162" s="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7"/>
      <c r="B163" s="1"/>
      <c r="C163" s="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7"/>
      <c r="B164" s="1"/>
      <c r="C164" s="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7"/>
      <c r="B165" s="1"/>
      <c r="C165" s="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7"/>
      <c r="B166" s="1"/>
      <c r="C166" s="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7"/>
      <c r="B167" s="1"/>
      <c r="C167" s="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7"/>
      <c r="B168" s="1"/>
      <c r="C168" s="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7"/>
      <c r="B169" s="1"/>
      <c r="C169" s="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7"/>
      <c r="B170" s="1"/>
      <c r="C170" s="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7"/>
      <c r="B171" s="1"/>
      <c r="C171" s="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7"/>
      <c r="B172" s="1"/>
      <c r="C172" s="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7"/>
      <c r="B173" s="1"/>
      <c r="C173" s="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7"/>
      <c r="B174" s="1"/>
      <c r="C174" s="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7"/>
      <c r="B175" s="1"/>
      <c r="C175" s="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7"/>
      <c r="B176" s="1"/>
      <c r="C176" s="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7"/>
      <c r="B177" s="1"/>
      <c r="C177" s="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7"/>
      <c r="B178" s="1"/>
      <c r="C178" s="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7"/>
      <c r="B179" s="1"/>
      <c r="C179" s="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7"/>
      <c r="B180" s="1"/>
      <c r="C180" s="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7"/>
      <c r="B181" s="1"/>
      <c r="C181" s="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7"/>
      <c r="B182" s="1"/>
      <c r="C182" s="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7"/>
      <c r="B183" s="1"/>
      <c r="C183" s="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7"/>
      <c r="B184" s="1"/>
      <c r="C184" s="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7"/>
      <c r="B185" s="1"/>
      <c r="C185" s="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7"/>
      <c r="B186" s="1"/>
      <c r="C186" s="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7"/>
      <c r="B187" s="1"/>
      <c r="C187" s="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7"/>
      <c r="B188" s="1"/>
      <c r="C188" s="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7"/>
      <c r="B189" s="1"/>
      <c r="C189" s="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7"/>
      <c r="B190" s="1"/>
      <c r="C190" s="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7"/>
      <c r="B191" s="1"/>
      <c r="C191" s="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7"/>
      <c r="B192" s="1"/>
      <c r="C192" s="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7"/>
      <c r="B193" s="1"/>
      <c r="C193" s="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7"/>
      <c r="B194" s="1"/>
      <c r="C194" s="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7"/>
      <c r="B195" s="1"/>
      <c r="C195" s="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7"/>
      <c r="B196" s="1"/>
      <c r="C196" s="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7"/>
      <c r="B197" s="1"/>
      <c r="C197" s="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7"/>
      <c r="B198" s="1"/>
      <c r="C198" s="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7"/>
      <c r="B199" s="1"/>
      <c r="C199" s="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7"/>
      <c r="B200" s="1"/>
      <c r="C200" s="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7"/>
      <c r="B201" s="1"/>
      <c r="C201" s="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7"/>
      <c r="B202" s="1"/>
      <c r="C202" s="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7"/>
      <c r="B203" s="1"/>
      <c r="C203" s="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7"/>
      <c r="B204" s="1"/>
      <c r="C204" s="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7"/>
      <c r="B205" s="1"/>
      <c r="C205" s="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7"/>
      <c r="B206" s="1"/>
      <c r="C206" s="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7"/>
      <c r="B207" s="1"/>
      <c r="C207" s="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7"/>
      <c r="B208" s="1"/>
      <c r="C208" s="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7"/>
      <c r="B209" s="1"/>
      <c r="C209" s="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7"/>
      <c r="B210" s="1"/>
      <c r="C210" s="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7"/>
      <c r="B211" s="1"/>
      <c r="C211" s="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7"/>
      <c r="B212" s="1"/>
      <c r="C212" s="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7"/>
      <c r="B213" s="1"/>
      <c r="C213" s="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7"/>
      <c r="B214" s="1"/>
      <c r="C214" s="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7"/>
      <c r="B215" s="1"/>
      <c r="C215" s="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7"/>
      <c r="B216" s="1"/>
      <c r="C216" s="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7"/>
      <c r="B217" s="1"/>
      <c r="C217" s="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7"/>
      <c r="B218" s="1"/>
      <c r="C218" s="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7"/>
      <c r="B219" s="1"/>
      <c r="C219" s="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7"/>
      <c r="B220" s="1"/>
      <c r="C220" s="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7"/>
      <c r="B221" s="1"/>
      <c r="C221" s="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7"/>
      <c r="B222" s="1"/>
      <c r="C222" s="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7"/>
      <c r="B223" s="1"/>
      <c r="C223" s="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7"/>
      <c r="B224" s="1"/>
      <c r="C224" s="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7"/>
      <c r="B225" s="1"/>
      <c r="C225" s="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7"/>
      <c r="B226" s="1"/>
      <c r="C226" s="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7"/>
      <c r="B227" s="1"/>
      <c r="C227" s="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7"/>
      <c r="B228" s="1"/>
      <c r="C228" s="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7"/>
      <c r="B229" s="1"/>
      <c r="C229" s="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7"/>
      <c r="B230" s="1"/>
      <c r="C230" s="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7"/>
      <c r="B231" s="1"/>
      <c r="C231" s="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7"/>
      <c r="B232" s="1"/>
      <c r="C232" s="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7"/>
      <c r="B233" s="1"/>
      <c r="C233" s="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7"/>
      <c r="B234" s="1"/>
      <c r="C234" s="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7"/>
      <c r="B235" s="1"/>
      <c r="C235" s="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7"/>
      <c r="B236" s="1"/>
      <c r="C236" s="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7"/>
      <c r="B237" s="1"/>
      <c r="C237" s="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7"/>
      <c r="B238" s="1"/>
      <c r="C238" s="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7"/>
      <c r="B239" s="1"/>
      <c r="C239" s="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7"/>
      <c r="B240" s="1"/>
      <c r="C240" s="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7"/>
      <c r="B241" s="1"/>
      <c r="C241" s="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7"/>
      <c r="B242" s="1"/>
      <c r="C242" s="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7"/>
      <c r="B243" s="1"/>
      <c r="C243" s="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7"/>
      <c r="B244" s="1"/>
      <c r="C244" s="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7"/>
      <c r="B245" s="1"/>
      <c r="C245" s="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7"/>
      <c r="B246" s="1"/>
      <c r="C246" s="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7"/>
      <c r="B247" s="1"/>
      <c r="C247" s="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7"/>
      <c r="B248" s="1"/>
      <c r="C248" s="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7"/>
      <c r="B249" s="1"/>
      <c r="C249" s="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7"/>
      <c r="B250" s="1"/>
      <c r="C250" s="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7"/>
      <c r="B251" s="1"/>
      <c r="C251" s="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7"/>
      <c r="B252" s="1"/>
      <c r="C252" s="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7"/>
      <c r="B253" s="1"/>
      <c r="C253" s="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7"/>
      <c r="B254" s="1"/>
      <c r="C254" s="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7"/>
      <c r="B255" s="1"/>
      <c r="C255" s="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7"/>
      <c r="B256" s="1"/>
      <c r="C256" s="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7"/>
      <c r="B257" s="1"/>
      <c r="C257" s="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7"/>
      <c r="B258" s="1"/>
      <c r="C258" s="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7"/>
      <c r="B259" s="1"/>
      <c r="C259" s="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7"/>
      <c r="B260" s="1"/>
      <c r="C260" s="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7"/>
      <c r="B261" s="1"/>
      <c r="C261" s="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7"/>
      <c r="B262" s="1"/>
      <c r="C262" s="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7"/>
      <c r="B263" s="1"/>
      <c r="C263" s="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7"/>
      <c r="B264" s="1"/>
      <c r="C264" s="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7"/>
      <c r="B265" s="1"/>
      <c r="C265" s="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7"/>
      <c r="B266" s="1"/>
      <c r="C266" s="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7"/>
      <c r="B267" s="1"/>
      <c r="C267" s="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7"/>
      <c r="B268" s="1"/>
      <c r="C268" s="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7"/>
      <c r="B269" s="1"/>
      <c r="C269" s="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7"/>
      <c r="B270" s="1"/>
      <c r="C270" s="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7"/>
      <c r="B271" s="1"/>
      <c r="C271" s="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7"/>
      <c r="B272" s="1"/>
      <c r="C272" s="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7"/>
      <c r="B273" s="1"/>
      <c r="C273" s="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7"/>
      <c r="B274" s="1"/>
      <c r="C274" s="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7"/>
      <c r="B275" s="1"/>
      <c r="C275" s="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7"/>
      <c r="B276" s="1"/>
      <c r="C276" s="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7"/>
      <c r="B277" s="1"/>
      <c r="C277" s="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7"/>
      <c r="B278" s="1"/>
      <c r="C278" s="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7"/>
      <c r="B279" s="1"/>
      <c r="C279" s="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7"/>
      <c r="B280" s="1"/>
      <c r="C280" s="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7"/>
      <c r="B281" s="1"/>
      <c r="C281" s="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7"/>
      <c r="B282" s="1"/>
      <c r="C282" s="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7"/>
      <c r="B283" s="1"/>
      <c r="C283" s="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7"/>
      <c r="B284" s="1"/>
      <c r="C284" s="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7"/>
      <c r="B285" s="1"/>
      <c r="C285" s="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7"/>
      <c r="B286" s="1"/>
      <c r="C286" s="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7"/>
      <c r="B287" s="1"/>
      <c r="C287" s="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7"/>
      <c r="B288" s="1"/>
      <c r="C288" s="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7"/>
      <c r="B289" s="1"/>
      <c r="C289" s="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7"/>
      <c r="B290" s="1"/>
      <c r="C290" s="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7"/>
      <c r="B291" s="1"/>
      <c r="C291" s="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7"/>
      <c r="B292" s="1"/>
      <c r="C292" s="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7"/>
      <c r="B293" s="1"/>
      <c r="C293" s="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7"/>
      <c r="B294" s="1"/>
      <c r="C294" s="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7"/>
      <c r="B295" s="1"/>
      <c r="C295" s="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7"/>
      <c r="B296" s="1"/>
      <c r="C296" s="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7"/>
      <c r="B297" s="1"/>
      <c r="C297" s="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7"/>
      <c r="B298" s="1"/>
      <c r="C298" s="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7"/>
      <c r="B299" s="1"/>
      <c r="C299" s="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7"/>
      <c r="B300" s="1"/>
      <c r="C300" s="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7"/>
      <c r="B301" s="1"/>
      <c r="C301" s="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7"/>
      <c r="B302" s="1"/>
      <c r="C302" s="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7"/>
      <c r="B303" s="1"/>
      <c r="C303" s="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7"/>
      <c r="B304" s="1"/>
      <c r="C304" s="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7"/>
      <c r="B305" s="1"/>
      <c r="C305" s="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7"/>
      <c r="B306" s="1"/>
      <c r="C306" s="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7"/>
      <c r="B307" s="1"/>
      <c r="C307" s="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7"/>
      <c r="B308" s="1"/>
      <c r="C308" s="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7"/>
      <c r="B309" s="1"/>
      <c r="C309" s="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7"/>
      <c r="B310" s="1"/>
      <c r="C310" s="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7"/>
      <c r="B311" s="1"/>
      <c r="C311" s="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7"/>
      <c r="B312" s="1"/>
      <c r="C312" s="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7"/>
      <c r="B313" s="1"/>
      <c r="C313" s="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7"/>
      <c r="B314" s="1"/>
      <c r="C314" s="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7"/>
      <c r="B315" s="1"/>
      <c r="C315" s="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7"/>
      <c r="B316" s="1"/>
      <c r="C316" s="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7"/>
      <c r="B317" s="1"/>
      <c r="C317" s="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7"/>
      <c r="B318" s="1"/>
      <c r="C318" s="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7"/>
      <c r="B319" s="1"/>
      <c r="C319" s="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7"/>
      <c r="B320" s="1"/>
      <c r="C320" s="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7"/>
      <c r="B321" s="1"/>
      <c r="C321" s="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7"/>
      <c r="B322" s="1"/>
      <c r="C322" s="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7"/>
      <c r="B323" s="1"/>
      <c r="C323" s="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7"/>
      <c r="B324" s="1"/>
      <c r="C324" s="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7"/>
      <c r="B325" s="1"/>
      <c r="C325" s="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7"/>
      <c r="B326" s="1"/>
      <c r="C326" s="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7"/>
      <c r="B327" s="1"/>
      <c r="C327" s="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7"/>
      <c r="B328" s="1"/>
      <c r="C328" s="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7"/>
      <c r="B329" s="1"/>
      <c r="C329" s="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7"/>
      <c r="B330" s="1"/>
      <c r="C330" s="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7"/>
      <c r="B331" s="1"/>
      <c r="C331" s="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7"/>
      <c r="B332" s="1"/>
      <c r="C332" s="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7"/>
      <c r="B333" s="1"/>
      <c r="C333" s="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7"/>
      <c r="B334" s="1"/>
      <c r="C334" s="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7"/>
      <c r="B335" s="1"/>
      <c r="C335" s="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7"/>
      <c r="B336" s="1"/>
      <c r="C336" s="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7"/>
      <c r="B337" s="1"/>
      <c r="C337" s="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7"/>
      <c r="B338" s="1"/>
      <c r="C338" s="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7"/>
      <c r="B339" s="1"/>
      <c r="C339" s="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7"/>
      <c r="B340" s="1"/>
      <c r="C340" s="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7"/>
      <c r="B341" s="1"/>
      <c r="C341" s="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7"/>
      <c r="B342" s="1"/>
      <c r="C342" s="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7"/>
      <c r="B343" s="1"/>
      <c r="C343" s="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7"/>
      <c r="B344" s="1"/>
      <c r="C344" s="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7"/>
      <c r="B345" s="1"/>
      <c r="C345" s="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7"/>
      <c r="B346" s="1"/>
      <c r="C346" s="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7"/>
      <c r="B347" s="1"/>
      <c r="C347" s="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7"/>
      <c r="B348" s="1"/>
      <c r="C348" s="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7"/>
      <c r="B349" s="1"/>
      <c r="C349" s="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7"/>
      <c r="B350" s="1"/>
      <c r="C350" s="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7"/>
      <c r="B351" s="1"/>
      <c r="C351" s="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7"/>
      <c r="B352" s="1"/>
      <c r="C352" s="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7"/>
      <c r="B353" s="1"/>
      <c r="C353" s="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7"/>
      <c r="B354" s="1"/>
      <c r="C354" s="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7"/>
      <c r="B355" s="1"/>
      <c r="C355" s="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7"/>
      <c r="B356" s="1"/>
      <c r="C356" s="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7"/>
      <c r="B357" s="1"/>
      <c r="C357" s="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7"/>
      <c r="B358" s="1"/>
      <c r="C358" s="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7"/>
      <c r="B359" s="1"/>
      <c r="C359" s="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7"/>
      <c r="B360" s="1"/>
      <c r="C360" s="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7"/>
      <c r="B361" s="1"/>
      <c r="C361" s="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7"/>
      <c r="B362" s="1"/>
      <c r="C362" s="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7"/>
      <c r="B363" s="1"/>
      <c r="C363" s="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7"/>
      <c r="B364" s="1"/>
      <c r="C364" s="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7"/>
      <c r="B365" s="1"/>
      <c r="C365" s="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7"/>
      <c r="B366" s="1"/>
      <c r="C366" s="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7"/>
      <c r="B367" s="1"/>
      <c r="C367" s="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7"/>
      <c r="B368" s="1"/>
      <c r="C368" s="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7"/>
      <c r="B369" s="1"/>
      <c r="C369" s="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7"/>
      <c r="B370" s="1"/>
      <c r="C370" s="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7"/>
      <c r="B371" s="1"/>
      <c r="C371" s="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7"/>
      <c r="B372" s="1"/>
      <c r="C372" s="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7"/>
      <c r="B373" s="1"/>
      <c r="C373" s="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7"/>
      <c r="B374" s="1"/>
      <c r="C374" s="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7"/>
      <c r="B375" s="1"/>
      <c r="C375" s="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7"/>
      <c r="B376" s="1"/>
      <c r="C376" s="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7"/>
      <c r="B377" s="1"/>
      <c r="C377" s="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7"/>
      <c r="B378" s="1"/>
      <c r="C378" s="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7"/>
      <c r="B379" s="1"/>
      <c r="C379" s="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7"/>
      <c r="B380" s="1"/>
      <c r="C380" s="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7"/>
      <c r="B381" s="1"/>
      <c r="C381" s="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7"/>
      <c r="B382" s="1"/>
      <c r="C382" s="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7"/>
      <c r="B383" s="1"/>
      <c r="C383" s="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7"/>
      <c r="B384" s="1"/>
      <c r="C384" s="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7"/>
      <c r="B385" s="1"/>
      <c r="C385" s="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7"/>
      <c r="B386" s="1"/>
      <c r="C386" s="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7"/>
      <c r="B387" s="1"/>
      <c r="C387" s="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7"/>
      <c r="B388" s="1"/>
      <c r="C388" s="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7"/>
      <c r="B389" s="1"/>
      <c r="C389" s="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7"/>
      <c r="B390" s="1"/>
      <c r="C390" s="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7"/>
      <c r="B391" s="1"/>
      <c r="C391" s="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7"/>
      <c r="B392" s="1"/>
      <c r="C392" s="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7"/>
      <c r="B393" s="1"/>
      <c r="C393" s="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7"/>
      <c r="B394" s="1"/>
      <c r="C394" s="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7"/>
      <c r="B395" s="1"/>
      <c r="C395" s="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7"/>
      <c r="B396" s="1"/>
      <c r="C396" s="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7"/>
      <c r="B397" s="1"/>
      <c r="C397" s="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7"/>
      <c r="B398" s="1"/>
      <c r="C398" s="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7"/>
      <c r="B399" s="1"/>
      <c r="C399" s="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7"/>
      <c r="B400" s="1"/>
      <c r="C400" s="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7"/>
      <c r="B401" s="1"/>
      <c r="C401" s="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7"/>
      <c r="B402" s="1"/>
      <c r="C402" s="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7"/>
      <c r="B403" s="1"/>
      <c r="C403" s="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7"/>
      <c r="B404" s="1"/>
      <c r="C404" s="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7"/>
      <c r="B405" s="1"/>
      <c r="C405" s="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7"/>
      <c r="B406" s="1"/>
      <c r="C406" s="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7"/>
      <c r="B407" s="1"/>
      <c r="C407" s="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7"/>
      <c r="B408" s="1"/>
      <c r="C408" s="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7"/>
      <c r="B409" s="1"/>
      <c r="C409" s="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7"/>
      <c r="B410" s="1"/>
      <c r="C410" s="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7"/>
      <c r="B411" s="1"/>
      <c r="C411" s="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7"/>
      <c r="B412" s="1"/>
      <c r="C412" s="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7"/>
      <c r="B413" s="1"/>
      <c r="C413" s="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7"/>
      <c r="B414" s="1"/>
      <c r="C414" s="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7"/>
      <c r="B415" s="1"/>
      <c r="C415" s="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7"/>
      <c r="B416" s="1"/>
      <c r="C416" s="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7"/>
      <c r="B417" s="1"/>
      <c r="C417" s="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7"/>
      <c r="B418" s="1"/>
      <c r="C418" s="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7"/>
      <c r="B419" s="1"/>
      <c r="C419" s="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7"/>
      <c r="B420" s="1"/>
      <c r="C420" s="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7"/>
      <c r="B421" s="1"/>
      <c r="C421" s="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7"/>
      <c r="B422" s="1"/>
      <c r="C422" s="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7"/>
      <c r="B423" s="1"/>
      <c r="C423" s="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7"/>
      <c r="B424" s="1"/>
      <c r="C424" s="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7"/>
      <c r="B425" s="1"/>
      <c r="C425" s="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7"/>
      <c r="B426" s="1"/>
      <c r="C426" s="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7"/>
      <c r="B427" s="1"/>
      <c r="C427" s="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7"/>
      <c r="B428" s="1"/>
      <c r="C428" s="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7"/>
      <c r="B429" s="1"/>
      <c r="C429" s="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7"/>
      <c r="B430" s="1"/>
      <c r="C430" s="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7"/>
      <c r="B431" s="1"/>
      <c r="C431" s="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7"/>
      <c r="B432" s="1"/>
      <c r="C432" s="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7"/>
      <c r="B433" s="1"/>
      <c r="C433" s="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7"/>
      <c r="B434" s="1"/>
      <c r="C434" s="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7"/>
      <c r="B435" s="1"/>
      <c r="C435" s="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7"/>
      <c r="B436" s="1"/>
      <c r="C436" s="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7"/>
      <c r="B437" s="1"/>
      <c r="C437" s="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7"/>
      <c r="B438" s="1"/>
      <c r="C438" s="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7"/>
      <c r="B439" s="1"/>
      <c r="C439" s="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7"/>
      <c r="B440" s="1"/>
      <c r="C440" s="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7"/>
      <c r="B441" s="1"/>
      <c r="C441" s="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7"/>
      <c r="B442" s="1"/>
      <c r="C442" s="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7"/>
      <c r="B443" s="1"/>
      <c r="C443" s="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7"/>
      <c r="B444" s="1"/>
      <c r="C444" s="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7"/>
      <c r="B445" s="1"/>
      <c r="C445" s="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7"/>
      <c r="B446" s="1"/>
      <c r="C446" s="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7"/>
      <c r="B447" s="1"/>
      <c r="C447" s="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7"/>
      <c r="B448" s="1"/>
      <c r="C448" s="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7"/>
      <c r="B449" s="1"/>
      <c r="C449" s="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7"/>
      <c r="B450" s="1"/>
      <c r="C450" s="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7"/>
      <c r="B451" s="1"/>
      <c r="C451" s="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7"/>
      <c r="B452" s="1"/>
      <c r="C452" s="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7"/>
      <c r="B453" s="1"/>
      <c r="C453" s="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7"/>
      <c r="B454" s="1"/>
      <c r="C454" s="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7"/>
      <c r="B455" s="1"/>
      <c r="C455" s="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7"/>
      <c r="B456" s="1"/>
      <c r="C456" s="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7"/>
      <c r="B457" s="1"/>
      <c r="C457" s="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7"/>
      <c r="B458" s="1"/>
      <c r="C458" s="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7"/>
      <c r="B459" s="1"/>
      <c r="C459" s="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7"/>
      <c r="B460" s="1"/>
      <c r="C460" s="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7"/>
      <c r="B461" s="1"/>
      <c r="C461" s="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7"/>
      <c r="B462" s="1"/>
      <c r="C462" s="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7"/>
      <c r="B463" s="1"/>
      <c r="C463" s="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7"/>
      <c r="B464" s="1"/>
      <c r="C464" s="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7"/>
      <c r="B465" s="1"/>
      <c r="C465" s="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7"/>
      <c r="B466" s="1"/>
      <c r="C466" s="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7"/>
      <c r="B467" s="1"/>
      <c r="C467" s="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7"/>
      <c r="B468" s="1"/>
      <c r="C468" s="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7"/>
      <c r="B469" s="1"/>
      <c r="C469" s="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7"/>
      <c r="B470" s="1"/>
      <c r="C470" s="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7"/>
      <c r="B471" s="1"/>
      <c r="C471" s="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7"/>
      <c r="B472" s="1"/>
      <c r="C472" s="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7"/>
      <c r="B473" s="1"/>
      <c r="C473" s="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7"/>
      <c r="B474" s="1"/>
      <c r="C474" s="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7"/>
      <c r="B475" s="1"/>
      <c r="C475" s="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7"/>
      <c r="B476" s="1"/>
      <c r="C476" s="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7"/>
      <c r="B477" s="1"/>
      <c r="C477" s="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7"/>
      <c r="B478" s="1"/>
      <c r="C478" s="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7"/>
      <c r="B479" s="1"/>
      <c r="C479" s="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7"/>
      <c r="B480" s="1"/>
      <c r="C480" s="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7"/>
      <c r="B481" s="1"/>
      <c r="C481" s="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7"/>
      <c r="B482" s="1"/>
      <c r="C482" s="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7"/>
      <c r="B483" s="1"/>
      <c r="C483" s="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7"/>
      <c r="B484" s="1"/>
      <c r="C484" s="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7"/>
      <c r="B485" s="1"/>
      <c r="C485" s="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7"/>
      <c r="B486" s="1"/>
      <c r="C486" s="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7"/>
      <c r="B487" s="1"/>
      <c r="C487" s="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7"/>
      <c r="B488" s="1"/>
      <c r="C488" s="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7"/>
      <c r="B489" s="1"/>
      <c r="C489" s="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7"/>
      <c r="B490" s="1"/>
      <c r="C490" s="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7"/>
      <c r="B491" s="1"/>
      <c r="C491" s="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7"/>
      <c r="B492" s="1"/>
      <c r="C492" s="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7"/>
      <c r="B493" s="1"/>
      <c r="C493" s="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7"/>
      <c r="B494" s="1"/>
      <c r="C494" s="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7"/>
      <c r="B495" s="1"/>
      <c r="C495" s="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7"/>
      <c r="B496" s="1"/>
      <c r="C496" s="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7"/>
      <c r="B497" s="1"/>
      <c r="C497" s="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7"/>
      <c r="B498" s="1"/>
      <c r="C498" s="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7"/>
      <c r="B499" s="1"/>
      <c r="C499" s="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7"/>
      <c r="B500" s="1"/>
      <c r="C500" s="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7"/>
      <c r="B501" s="1"/>
      <c r="C501" s="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7"/>
      <c r="B502" s="1"/>
      <c r="C502" s="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7"/>
      <c r="B503" s="1"/>
      <c r="C503" s="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7"/>
      <c r="B504" s="1"/>
      <c r="C504" s="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7"/>
      <c r="B505" s="1"/>
      <c r="C505" s="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7"/>
      <c r="B506" s="1"/>
      <c r="C506" s="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7"/>
      <c r="B507" s="1"/>
      <c r="C507" s="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7"/>
      <c r="B508" s="1"/>
      <c r="C508" s="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7"/>
      <c r="B509" s="1"/>
      <c r="C509" s="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7"/>
      <c r="B510" s="1"/>
      <c r="C510" s="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7"/>
      <c r="B511" s="1"/>
      <c r="C511" s="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7"/>
      <c r="B512" s="1"/>
      <c r="C512" s="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7"/>
      <c r="B513" s="1"/>
      <c r="C513" s="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7"/>
      <c r="B514" s="1"/>
      <c r="C514" s="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7"/>
      <c r="B515" s="1"/>
      <c r="C515" s="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7"/>
      <c r="B516" s="1"/>
      <c r="C516" s="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7"/>
      <c r="B517" s="1"/>
      <c r="C517" s="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7"/>
      <c r="B518" s="1"/>
      <c r="C518" s="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7"/>
      <c r="B519" s="1"/>
      <c r="C519" s="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7"/>
      <c r="B520" s="1"/>
      <c r="C520" s="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7"/>
      <c r="B521" s="1"/>
      <c r="C521" s="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7"/>
      <c r="B522" s="1"/>
      <c r="C522" s="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7"/>
      <c r="B523" s="1"/>
      <c r="C523" s="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7"/>
      <c r="B524" s="1"/>
      <c r="C524" s="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7"/>
      <c r="B525" s="1"/>
      <c r="C525" s="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7"/>
      <c r="B526" s="1"/>
      <c r="C526" s="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7"/>
      <c r="B527" s="1"/>
      <c r="C527" s="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7"/>
      <c r="B528" s="1"/>
      <c r="C528" s="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7"/>
      <c r="B529" s="1"/>
      <c r="C529" s="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7"/>
      <c r="B530" s="1"/>
      <c r="C530" s="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7"/>
      <c r="B531" s="1"/>
      <c r="C531" s="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7"/>
      <c r="B532" s="1"/>
      <c r="C532" s="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7"/>
      <c r="B533" s="1"/>
      <c r="C533" s="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7"/>
      <c r="B534" s="1"/>
      <c r="C534" s="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7"/>
      <c r="B535" s="1"/>
      <c r="C535" s="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7"/>
      <c r="B536" s="1"/>
      <c r="C536" s="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7"/>
      <c r="B537" s="1"/>
      <c r="C537" s="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7"/>
      <c r="B538" s="1"/>
      <c r="C538" s="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7"/>
      <c r="B539" s="1"/>
      <c r="C539" s="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7"/>
      <c r="B540" s="1"/>
      <c r="C540" s="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7"/>
      <c r="B541" s="1"/>
      <c r="C541" s="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7"/>
      <c r="B542" s="1"/>
      <c r="C542" s="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7"/>
      <c r="B543" s="1"/>
      <c r="C543" s="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7"/>
      <c r="B544" s="1"/>
      <c r="C544" s="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7"/>
      <c r="B545" s="1"/>
      <c r="C545" s="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7"/>
      <c r="B546" s="1"/>
      <c r="C546" s="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7"/>
      <c r="B547" s="1"/>
      <c r="C547" s="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7"/>
      <c r="B548" s="1"/>
      <c r="C548" s="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7"/>
      <c r="B549" s="1"/>
      <c r="C549" s="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7"/>
      <c r="B550" s="1"/>
      <c r="C550" s="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7"/>
      <c r="B551" s="1"/>
      <c r="C551" s="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7"/>
      <c r="B552" s="1"/>
      <c r="C552" s="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7"/>
      <c r="B553" s="1"/>
      <c r="C553" s="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7"/>
      <c r="B554" s="1"/>
      <c r="C554" s="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7"/>
      <c r="B555" s="1"/>
      <c r="C555" s="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7"/>
      <c r="B556" s="1"/>
      <c r="C556" s="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7"/>
      <c r="B557" s="1"/>
      <c r="C557" s="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7"/>
      <c r="B558" s="1"/>
      <c r="C558" s="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7"/>
      <c r="B559" s="1"/>
      <c r="C559" s="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7"/>
      <c r="B560" s="1"/>
      <c r="C560" s="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7"/>
      <c r="B561" s="1"/>
      <c r="C561" s="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7"/>
      <c r="B562" s="1"/>
      <c r="C562" s="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7"/>
      <c r="B563" s="1"/>
      <c r="C563" s="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7"/>
      <c r="B564" s="1"/>
      <c r="C564" s="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7"/>
      <c r="B565" s="1"/>
      <c r="C565" s="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7"/>
      <c r="B566" s="1"/>
      <c r="C566" s="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7"/>
      <c r="B567" s="1"/>
      <c r="C567" s="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7"/>
      <c r="B568" s="1"/>
      <c r="C568" s="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7"/>
      <c r="B569" s="1"/>
      <c r="C569" s="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7"/>
      <c r="B570" s="1"/>
      <c r="C570" s="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7"/>
      <c r="B571" s="1"/>
      <c r="C571" s="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7"/>
      <c r="B572" s="1"/>
      <c r="C572" s="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7"/>
      <c r="B573" s="1"/>
      <c r="C573" s="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7"/>
      <c r="B574" s="1"/>
      <c r="C574" s="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7"/>
      <c r="B575" s="1"/>
      <c r="C575" s="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7"/>
      <c r="B576" s="1"/>
      <c r="C576" s="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7"/>
      <c r="B577" s="1"/>
      <c r="C577" s="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7"/>
      <c r="B578" s="1"/>
      <c r="C578" s="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7"/>
      <c r="B579" s="1"/>
      <c r="C579" s="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7"/>
      <c r="B580" s="1"/>
      <c r="C580" s="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7"/>
      <c r="B581" s="1"/>
      <c r="C581" s="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7"/>
      <c r="B582" s="1"/>
      <c r="C582" s="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7"/>
      <c r="B583" s="1"/>
      <c r="C583" s="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7"/>
      <c r="B584" s="1"/>
      <c r="C584" s="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7"/>
      <c r="B585" s="1"/>
      <c r="C585" s="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7"/>
      <c r="B586" s="1"/>
      <c r="C586" s="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7"/>
      <c r="B587" s="1"/>
      <c r="C587" s="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7"/>
      <c r="B588" s="1"/>
      <c r="C588" s="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7"/>
      <c r="B589" s="1"/>
      <c r="C589" s="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7"/>
      <c r="B590" s="1"/>
      <c r="C590" s="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7"/>
      <c r="B591" s="1"/>
      <c r="C591" s="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7"/>
      <c r="B592" s="1"/>
      <c r="C592" s="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7"/>
      <c r="B593" s="1"/>
      <c r="C593" s="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7"/>
      <c r="B594" s="1"/>
      <c r="C594" s="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7"/>
      <c r="B595" s="1"/>
      <c r="C595" s="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7"/>
      <c r="B596" s="1"/>
      <c r="C596" s="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7"/>
      <c r="B597" s="1"/>
      <c r="C597" s="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7"/>
      <c r="B598" s="1"/>
      <c r="C598" s="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7"/>
      <c r="B599" s="1"/>
      <c r="C599" s="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7"/>
      <c r="B600" s="1"/>
      <c r="C600" s="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7"/>
      <c r="B601" s="1"/>
      <c r="C601" s="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7"/>
      <c r="B602" s="1"/>
      <c r="C602" s="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7"/>
      <c r="B603" s="1"/>
      <c r="C603" s="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7"/>
      <c r="B604" s="1"/>
      <c r="C604" s="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7"/>
      <c r="B605" s="1"/>
      <c r="C605" s="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7"/>
      <c r="B606" s="1"/>
      <c r="C606" s="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7"/>
      <c r="B607" s="1"/>
      <c r="C607" s="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7"/>
      <c r="B608" s="1"/>
      <c r="C608" s="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7"/>
      <c r="B609" s="1"/>
      <c r="C609" s="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7"/>
      <c r="B610" s="1"/>
      <c r="C610" s="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7"/>
      <c r="B611" s="1"/>
      <c r="C611" s="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7"/>
      <c r="B612" s="1"/>
      <c r="C612" s="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7"/>
      <c r="B613" s="1"/>
      <c r="C613" s="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7"/>
      <c r="B614" s="1"/>
      <c r="C614" s="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7"/>
      <c r="B615" s="1"/>
      <c r="C615" s="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7"/>
      <c r="B616" s="1"/>
      <c r="C616" s="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7"/>
      <c r="B617" s="1"/>
      <c r="C617" s="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7"/>
      <c r="B618" s="1"/>
      <c r="C618" s="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7"/>
      <c r="B619" s="1"/>
      <c r="C619" s="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7"/>
      <c r="B620" s="1"/>
      <c r="C620" s="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7"/>
      <c r="B621" s="1"/>
      <c r="C621" s="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7"/>
      <c r="B622" s="1"/>
      <c r="C622" s="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7"/>
      <c r="B623" s="1"/>
      <c r="C623" s="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7"/>
      <c r="B624" s="1"/>
      <c r="C624" s="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7"/>
      <c r="B625" s="1"/>
      <c r="C625" s="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7"/>
      <c r="B626" s="1"/>
      <c r="C626" s="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7"/>
      <c r="B627" s="1"/>
      <c r="C627" s="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7"/>
      <c r="B628" s="1"/>
      <c r="C628" s="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7"/>
      <c r="B629" s="1"/>
      <c r="C629" s="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7"/>
      <c r="B630" s="1"/>
      <c r="C630" s="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7"/>
      <c r="B631" s="1"/>
      <c r="C631" s="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7"/>
      <c r="B632" s="1"/>
      <c r="C632" s="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7"/>
      <c r="B633" s="1"/>
      <c r="C633" s="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7"/>
      <c r="B634" s="1"/>
      <c r="C634" s="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7"/>
      <c r="B635" s="1"/>
      <c r="C635" s="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7"/>
      <c r="B636" s="1"/>
      <c r="C636" s="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7"/>
      <c r="B637" s="1"/>
      <c r="C637" s="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7"/>
      <c r="B638" s="1"/>
      <c r="C638" s="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7"/>
      <c r="B639" s="1"/>
      <c r="C639" s="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7"/>
      <c r="B640" s="1"/>
      <c r="C640" s="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7"/>
      <c r="B641" s="1"/>
      <c r="C641" s="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7"/>
      <c r="B642" s="1"/>
      <c r="C642" s="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7"/>
      <c r="B643" s="1"/>
      <c r="C643" s="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7"/>
      <c r="B644" s="1"/>
      <c r="C644" s="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7"/>
      <c r="B645" s="1"/>
      <c r="C645" s="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7"/>
      <c r="B646" s="1"/>
      <c r="C646" s="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7"/>
      <c r="B647" s="1"/>
      <c r="C647" s="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7"/>
      <c r="B648" s="1"/>
      <c r="C648" s="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7"/>
      <c r="B649" s="1"/>
      <c r="C649" s="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7"/>
      <c r="B650" s="1"/>
      <c r="C650" s="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7"/>
      <c r="B651" s="1"/>
      <c r="C651" s="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7"/>
      <c r="B652" s="1"/>
      <c r="C652" s="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7"/>
      <c r="B653" s="1"/>
      <c r="C653" s="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7"/>
      <c r="B654" s="1"/>
      <c r="C654" s="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7"/>
      <c r="B655" s="1"/>
      <c r="C655" s="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7"/>
      <c r="B656" s="1"/>
      <c r="C656" s="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7"/>
      <c r="B657" s="1"/>
      <c r="C657" s="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7"/>
      <c r="B658" s="1"/>
      <c r="C658" s="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7"/>
      <c r="B659" s="1"/>
      <c r="C659" s="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7"/>
      <c r="B660" s="1"/>
      <c r="C660" s="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7"/>
      <c r="B661" s="1"/>
      <c r="C661" s="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7"/>
      <c r="B662" s="1"/>
      <c r="C662" s="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7"/>
      <c r="B663" s="1"/>
      <c r="C663" s="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7"/>
      <c r="B664" s="1"/>
      <c r="C664" s="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7"/>
      <c r="B665" s="1"/>
      <c r="C665" s="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7"/>
      <c r="B666" s="1"/>
      <c r="C666" s="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7"/>
      <c r="B667" s="1"/>
      <c r="C667" s="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7"/>
      <c r="B668" s="1"/>
      <c r="C668" s="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7"/>
      <c r="B669" s="1"/>
      <c r="C669" s="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7"/>
      <c r="B670" s="1"/>
      <c r="C670" s="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7"/>
      <c r="B671" s="1"/>
      <c r="C671" s="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7"/>
      <c r="B672" s="1"/>
      <c r="C672" s="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7"/>
      <c r="B673" s="1"/>
      <c r="C673" s="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7"/>
      <c r="B674" s="1"/>
      <c r="C674" s="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7"/>
      <c r="B675" s="1"/>
      <c r="C675" s="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7"/>
      <c r="B676" s="1"/>
      <c r="C676" s="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7"/>
      <c r="B677" s="1"/>
      <c r="C677" s="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7"/>
      <c r="B678" s="1"/>
      <c r="C678" s="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7"/>
      <c r="B679" s="1"/>
      <c r="C679" s="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7"/>
      <c r="B680" s="1"/>
      <c r="C680" s="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7"/>
      <c r="B681" s="1"/>
      <c r="C681" s="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7"/>
      <c r="B682" s="1"/>
      <c r="C682" s="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7"/>
      <c r="B683" s="1"/>
      <c r="C683" s="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7"/>
      <c r="B684" s="1"/>
      <c r="C684" s="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7"/>
      <c r="B685" s="1"/>
      <c r="C685" s="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7"/>
      <c r="B686" s="1"/>
      <c r="C686" s="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7"/>
      <c r="B687" s="1"/>
      <c r="C687" s="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7"/>
      <c r="B688" s="1"/>
      <c r="C688" s="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7"/>
      <c r="B689" s="1"/>
      <c r="C689" s="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7"/>
      <c r="B690" s="1"/>
      <c r="C690" s="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7"/>
      <c r="B691" s="1"/>
      <c r="C691" s="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7"/>
      <c r="B692" s="1"/>
      <c r="C692" s="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7"/>
      <c r="B693" s="1"/>
      <c r="C693" s="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7"/>
      <c r="B694" s="1"/>
      <c r="C694" s="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7"/>
      <c r="B695" s="1"/>
      <c r="C695" s="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7"/>
      <c r="B696" s="1"/>
      <c r="C696" s="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7"/>
      <c r="B697" s="1"/>
      <c r="C697" s="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7"/>
      <c r="B698" s="1"/>
      <c r="C698" s="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7"/>
      <c r="B699" s="1"/>
      <c r="C699" s="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7"/>
      <c r="B700" s="1"/>
      <c r="C700" s="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7"/>
      <c r="B701" s="1"/>
      <c r="C701" s="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7"/>
      <c r="B702" s="1"/>
      <c r="C702" s="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7"/>
      <c r="B703" s="1"/>
      <c r="C703" s="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7"/>
      <c r="B704" s="1"/>
      <c r="C704" s="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7"/>
      <c r="B705" s="1"/>
      <c r="C705" s="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7"/>
      <c r="B706" s="1"/>
      <c r="C706" s="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7"/>
      <c r="B707" s="1"/>
      <c r="C707" s="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7"/>
      <c r="B708" s="1"/>
      <c r="C708" s="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7"/>
      <c r="B709" s="1"/>
      <c r="C709" s="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7"/>
      <c r="B710" s="1"/>
      <c r="C710" s="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7"/>
      <c r="B711" s="1"/>
      <c r="C711" s="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7"/>
      <c r="B712" s="1"/>
      <c r="C712" s="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7"/>
      <c r="B713" s="1"/>
      <c r="C713" s="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7"/>
      <c r="B714" s="1"/>
      <c r="C714" s="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7"/>
      <c r="B715" s="1"/>
      <c r="C715" s="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7"/>
      <c r="B716" s="1"/>
      <c r="C716" s="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7"/>
      <c r="B717" s="1"/>
      <c r="C717" s="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7"/>
      <c r="B718" s="1"/>
      <c r="C718" s="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7"/>
      <c r="B719" s="1"/>
      <c r="C719" s="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7"/>
      <c r="B720" s="1"/>
      <c r="C720" s="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7"/>
      <c r="B721" s="1"/>
      <c r="C721" s="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7"/>
      <c r="B722" s="1"/>
      <c r="C722" s="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7"/>
      <c r="B723" s="1"/>
      <c r="C723" s="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7"/>
      <c r="B724" s="1"/>
      <c r="C724" s="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7"/>
      <c r="B725" s="1"/>
      <c r="C725" s="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7"/>
      <c r="B726" s="1"/>
      <c r="C726" s="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7"/>
      <c r="B727" s="1"/>
      <c r="C727" s="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7"/>
      <c r="B728" s="1"/>
      <c r="C728" s="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7"/>
      <c r="B729" s="1"/>
      <c r="C729" s="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7"/>
      <c r="B730" s="1"/>
      <c r="C730" s="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7"/>
      <c r="B731" s="1"/>
      <c r="C731" s="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7"/>
      <c r="B732" s="1"/>
      <c r="C732" s="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7"/>
      <c r="B733" s="1"/>
      <c r="C733" s="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7"/>
      <c r="B734" s="1"/>
      <c r="C734" s="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7"/>
      <c r="B735" s="1"/>
      <c r="C735" s="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7"/>
      <c r="B736" s="1"/>
      <c r="C736" s="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7"/>
      <c r="B737" s="1"/>
      <c r="C737" s="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7"/>
      <c r="B738" s="1"/>
      <c r="C738" s="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7"/>
      <c r="B739" s="1"/>
      <c r="C739" s="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7"/>
      <c r="B740" s="1"/>
      <c r="C740" s="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7"/>
      <c r="B741" s="1"/>
      <c r="C741" s="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7"/>
      <c r="B742" s="1"/>
      <c r="C742" s="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7"/>
      <c r="B743" s="1"/>
      <c r="C743" s="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7"/>
      <c r="B744" s="1"/>
      <c r="C744" s="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7"/>
      <c r="B745" s="1"/>
      <c r="C745" s="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7"/>
      <c r="B746" s="1"/>
      <c r="C746" s="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7"/>
      <c r="B747" s="1"/>
      <c r="C747" s="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7"/>
      <c r="B748" s="1"/>
      <c r="C748" s="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7"/>
      <c r="B749" s="1"/>
      <c r="C749" s="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7"/>
      <c r="B750" s="1"/>
      <c r="C750" s="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7"/>
      <c r="B751" s="1"/>
      <c r="C751" s="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7"/>
      <c r="B752" s="1"/>
      <c r="C752" s="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7"/>
      <c r="B753" s="1"/>
      <c r="C753" s="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7"/>
      <c r="B754" s="1"/>
      <c r="C754" s="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7"/>
      <c r="B755" s="1"/>
      <c r="C755" s="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7"/>
      <c r="B756" s="1"/>
      <c r="C756" s="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7"/>
      <c r="B757" s="1"/>
      <c r="C757" s="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7"/>
      <c r="B758" s="1"/>
      <c r="C758" s="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7"/>
      <c r="B759" s="1"/>
      <c r="C759" s="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7"/>
      <c r="B760" s="1"/>
      <c r="C760" s="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7"/>
      <c r="B761" s="1"/>
      <c r="C761" s="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7"/>
      <c r="B762" s="1"/>
      <c r="C762" s="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7"/>
      <c r="B763" s="1"/>
      <c r="C763" s="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7"/>
      <c r="B764" s="1"/>
      <c r="C764" s="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7"/>
      <c r="B765" s="1"/>
      <c r="C765" s="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7"/>
      <c r="B766" s="1"/>
      <c r="C766" s="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7"/>
      <c r="B767" s="1"/>
      <c r="C767" s="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7"/>
      <c r="B768" s="1"/>
      <c r="C768" s="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7"/>
      <c r="B769" s="1"/>
      <c r="C769" s="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7"/>
      <c r="B770" s="1"/>
      <c r="C770" s="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7"/>
      <c r="B771" s="1"/>
      <c r="C771" s="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7"/>
      <c r="B772" s="1"/>
      <c r="C772" s="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7"/>
      <c r="B773" s="1"/>
      <c r="C773" s="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7"/>
      <c r="B774" s="1"/>
      <c r="C774" s="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7"/>
      <c r="B775" s="1"/>
      <c r="C775" s="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7"/>
      <c r="B776" s="1"/>
      <c r="C776" s="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7"/>
      <c r="B777" s="1"/>
      <c r="C777" s="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7"/>
      <c r="B778" s="1"/>
      <c r="C778" s="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7"/>
      <c r="B779" s="1"/>
      <c r="C779" s="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7"/>
      <c r="B780" s="1"/>
      <c r="C780" s="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7"/>
      <c r="B781" s="1"/>
      <c r="C781" s="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7"/>
      <c r="B782" s="1"/>
      <c r="C782" s="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7"/>
      <c r="B783" s="1"/>
      <c r="C783" s="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7"/>
      <c r="B784" s="1"/>
      <c r="C784" s="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7"/>
      <c r="B785" s="1"/>
      <c r="C785" s="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7"/>
      <c r="B786" s="1"/>
      <c r="C786" s="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7"/>
      <c r="B787" s="1"/>
      <c r="C787" s="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7"/>
      <c r="B788" s="1"/>
      <c r="C788" s="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7"/>
      <c r="B789" s="1"/>
      <c r="C789" s="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7"/>
      <c r="B790" s="1"/>
      <c r="C790" s="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7"/>
      <c r="B791" s="1"/>
      <c r="C791" s="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7"/>
      <c r="B792" s="1"/>
      <c r="C792" s="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7"/>
      <c r="B793" s="1"/>
      <c r="C793" s="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7"/>
      <c r="B794" s="1"/>
      <c r="C794" s="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7"/>
      <c r="B795" s="1"/>
      <c r="C795" s="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7"/>
      <c r="B796" s="1"/>
      <c r="C796" s="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7"/>
      <c r="B797" s="1"/>
      <c r="C797" s="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7"/>
      <c r="B798" s="1"/>
      <c r="C798" s="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7"/>
      <c r="B799" s="1"/>
      <c r="C799" s="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7"/>
      <c r="B800" s="1"/>
      <c r="C800" s="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7"/>
      <c r="B801" s="1"/>
      <c r="C801" s="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7"/>
      <c r="B802" s="1"/>
      <c r="C802" s="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7"/>
      <c r="B803" s="1"/>
      <c r="C803" s="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7"/>
      <c r="B804" s="1"/>
      <c r="C804" s="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7"/>
      <c r="B805" s="1"/>
      <c r="C805" s="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7"/>
      <c r="B806" s="1"/>
      <c r="C806" s="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7"/>
      <c r="B807" s="1"/>
      <c r="C807" s="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7"/>
      <c r="B808" s="1"/>
      <c r="C808" s="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7"/>
      <c r="B809" s="1"/>
      <c r="C809" s="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7"/>
      <c r="B810" s="1"/>
      <c r="C810" s="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7"/>
      <c r="B811" s="1"/>
      <c r="C811" s="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7"/>
      <c r="B812" s="1"/>
      <c r="C812" s="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7"/>
      <c r="B813" s="1"/>
      <c r="C813" s="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7"/>
      <c r="B814" s="1"/>
      <c r="C814" s="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7"/>
      <c r="B815" s="1"/>
      <c r="C815" s="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7"/>
      <c r="B816" s="1"/>
      <c r="C816" s="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7"/>
      <c r="B817" s="1"/>
      <c r="C817" s="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7"/>
      <c r="B818" s="1"/>
      <c r="C818" s="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7"/>
      <c r="B819" s="1"/>
      <c r="C819" s="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7"/>
      <c r="B820" s="1"/>
      <c r="C820" s="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7"/>
      <c r="B821" s="1"/>
      <c r="C821" s="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7"/>
      <c r="B822" s="1"/>
      <c r="C822" s="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7"/>
      <c r="B823" s="1"/>
      <c r="C823" s="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7"/>
      <c r="B824" s="1"/>
      <c r="C824" s="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7"/>
      <c r="B825" s="1"/>
      <c r="C825" s="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7"/>
      <c r="B826" s="1"/>
      <c r="C826" s="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7"/>
      <c r="B827" s="1"/>
      <c r="C827" s="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7"/>
      <c r="B828" s="1"/>
      <c r="C828" s="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7"/>
      <c r="B829" s="1"/>
      <c r="C829" s="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7"/>
      <c r="B830" s="1"/>
      <c r="C830" s="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7"/>
      <c r="B831" s="1"/>
      <c r="C831" s="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7"/>
      <c r="B832" s="1"/>
      <c r="C832" s="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7"/>
      <c r="B833" s="1"/>
      <c r="C833" s="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7"/>
      <c r="B834" s="1"/>
      <c r="C834" s="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7"/>
      <c r="B835" s="1"/>
      <c r="C835" s="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7"/>
      <c r="B836" s="1"/>
      <c r="C836" s="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7"/>
      <c r="B837" s="1"/>
      <c r="C837" s="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7"/>
      <c r="B838" s="1"/>
      <c r="C838" s="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7"/>
      <c r="B839" s="1"/>
      <c r="C839" s="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7"/>
      <c r="B840" s="1"/>
      <c r="C840" s="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7"/>
      <c r="B841" s="1"/>
      <c r="C841" s="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7"/>
      <c r="B842" s="1"/>
      <c r="C842" s="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7"/>
      <c r="B843" s="1"/>
      <c r="C843" s="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7"/>
      <c r="B844" s="1"/>
      <c r="C844" s="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7"/>
      <c r="B845" s="1"/>
      <c r="C845" s="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7"/>
      <c r="B846" s="1"/>
      <c r="C846" s="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7"/>
      <c r="B847" s="1"/>
      <c r="C847" s="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7"/>
      <c r="B848" s="1"/>
      <c r="C848" s="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7"/>
      <c r="B849" s="1"/>
      <c r="C849" s="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7"/>
      <c r="B850" s="1"/>
      <c r="C850" s="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7"/>
      <c r="B851" s="1"/>
      <c r="C851" s="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7"/>
      <c r="B852" s="1"/>
      <c r="C852" s="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7"/>
      <c r="B853" s="1"/>
      <c r="C853" s="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7"/>
      <c r="B854" s="1"/>
      <c r="C854" s="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7"/>
      <c r="B855" s="1"/>
      <c r="C855" s="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7"/>
      <c r="B856" s="1"/>
      <c r="C856" s="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7"/>
      <c r="B857" s="1"/>
      <c r="C857" s="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7"/>
      <c r="B858" s="1"/>
      <c r="C858" s="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7"/>
      <c r="B859" s="1"/>
      <c r="C859" s="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7"/>
      <c r="B860" s="1"/>
      <c r="C860" s="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7"/>
      <c r="B861" s="1"/>
      <c r="C861" s="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7"/>
      <c r="B862" s="1"/>
      <c r="C862" s="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7"/>
      <c r="B863" s="1"/>
      <c r="C863" s="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7"/>
      <c r="B864" s="1"/>
      <c r="C864" s="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7"/>
      <c r="B865" s="1"/>
      <c r="C865" s="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7"/>
      <c r="B866" s="1"/>
      <c r="C866" s="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7"/>
      <c r="B867" s="1"/>
      <c r="C867" s="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7"/>
      <c r="B868" s="1"/>
      <c r="C868" s="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7"/>
      <c r="B869" s="1"/>
      <c r="C869" s="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7"/>
      <c r="B870" s="1"/>
      <c r="C870" s="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7"/>
      <c r="B871" s="1"/>
      <c r="C871" s="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7"/>
      <c r="B872" s="1"/>
      <c r="C872" s="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7"/>
      <c r="B873" s="1"/>
      <c r="C873" s="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7"/>
      <c r="B874" s="1"/>
      <c r="C874" s="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7"/>
      <c r="B875" s="1"/>
      <c r="C875" s="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7"/>
      <c r="B876" s="1"/>
      <c r="C876" s="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7"/>
      <c r="B877" s="1"/>
      <c r="C877" s="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7"/>
      <c r="B878" s="1"/>
      <c r="C878" s="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7"/>
      <c r="B879" s="1"/>
      <c r="C879" s="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7"/>
      <c r="B880" s="1"/>
      <c r="C880" s="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7"/>
      <c r="B881" s="1"/>
      <c r="C881" s="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7"/>
      <c r="B882" s="1"/>
      <c r="C882" s="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7"/>
      <c r="B883" s="1"/>
      <c r="C883" s="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7"/>
      <c r="B884" s="1"/>
      <c r="C884" s="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7"/>
      <c r="B885" s="1"/>
      <c r="C885" s="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7"/>
      <c r="B886" s="1"/>
      <c r="C886" s="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7"/>
      <c r="B887" s="1"/>
      <c r="C887" s="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7"/>
      <c r="B888" s="1"/>
      <c r="C888" s="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7"/>
      <c r="B889" s="1"/>
      <c r="C889" s="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7"/>
      <c r="B890" s="1"/>
      <c r="C890" s="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7"/>
      <c r="B891" s="1"/>
      <c r="C891" s="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7"/>
      <c r="B892" s="1"/>
      <c r="C892" s="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7"/>
      <c r="B893" s="1"/>
      <c r="C893" s="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7"/>
      <c r="B894" s="1"/>
      <c r="C894" s="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7"/>
      <c r="B895" s="1"/>
      <c r="C895" s="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7"/>
      <c r="B896" s="1"/>
      <c r="C896" s="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7"/>
      <c r="B897" s="1"/>
      <c r="C897" s="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7"/>
      <c r="B898" s="1"/>
      <c r="C898" s="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7"/>
      <c r="B899" s="1"/>
      <c r="C899" s="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7"/>
      <c r="B900" s="1"/>
      <c r="C900" s="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7"/>
      <c r="B901" s="1"/>
      <c r="C901" s="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7"/>
      <c r="B902" s="1"/>
      <c r="C902" s="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7"/>
      <c r="B903" s="1"/>
      <c r="C903" s="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7"/>
      <c r="B904" s="1"/>
      <c r="C904" s="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7"/>
      <c r="B905" s="1"/>
      <c r="C905" s="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7"/>
      <c r="B906" s="1"/>
      <c r="C906" s="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7"/>
      <c r="B907" s="1"/>
      <c r="C907" s="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7"/>
      <c r="B908" s="1"/>
      <c r="C908" s="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7"/>
      <c r="B909" s="1"/>
      <c r="C909" s="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7"/>
      <c r="B910" s="1"/>
      <c r="C910" s="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7"/>
      <c r="B911" s="1"/>
      <c r="C911" s="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7"/>
      <c r="B912" s="1"/>
      <c r="C912" s="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7"/>
      <c r="B913" s="1"/>
      <c r="C913" s="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7"/>
      <c r="B914" s="1"/>
      <c r="C914" s="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7"/>
      <c r="B915" s="1"/>
      <c r="C915" s="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7"/>
      <c r="B916" s="1"/>
      <c r="C916" s="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7"/>
      <c r="B917" s="1"/>
      <c r="C917" s="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7"/>
      <c r="B918" s="1"/>
      <c r="C918" s="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7"/>
      <c r="B919" s="1"/>
      <c r="C919" s="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7"/>
      <c r="B920" s="1"/>
      <c r="C920" s="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7"/>
      <c r="B921" s="1"/>
      <c r="C921" s="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7"/>
      <c r="B922" s="1"/>
      <c r="C922" s="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7"/>
      <c r="B923" s="1"/>
      <c r="C923" s="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7"/>
      <c r="B924" s="1"/>
      <c r="C924" s="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7"/>
      <c r="B925" s="1"/>
      <c r="C925" s="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7"/>
      <c r="B926" s="1"/>
      <c r="C926" s="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7"/>
      <c r="B927" s="1"/>
      <c r="C927" s="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7"/>
      <c r="B928" s="1"/>
      <c r="C928" s="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7"/>
      <c r="B929" s="1"/>
      <c r="C929" s="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7"/>
      <c r="B930" s="1"/>
      <c r="C930" s="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7"/>
      <c r="B931" s="1"/>
      <c r="C931" s="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7"/>
      <c r="B932" s="1"/>
      <c r="C932" s="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7"/>
      <c r="B933" s="1"/>
      <c r="C933" s="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7"/>
      <c r="B934" s="1"/>
      <c r="C934" s="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7"/>
      <c r="B935" s="1"/>
      <c r="C935" s="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7"/>
      <c r="B936" s="1"/>
      <c r="C936" s="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7"/>
      <c r="B937" s="1"/>
      <c r="C937" s="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7"/>
      <c r="B938" s="1"/>
      <c r="C938" s="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7"/>
      <c r="B939" s="1"/>
      <c r="C939" s="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7"/>
      <c r="B940" s="1"/>
      <c r="C940" s="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7"/>
      <c r="B941" s="1"/>
      <c r="C941" s="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7"/>
      <c r="B942" s="1"/>
      <c r="C942" s="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7"/>
      <c r="B943" s="1"/>
      <c r="C943" s="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7"/>
      <c r="B944" s="1"/>
      <c r="C944" s="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7"/>
      <c r="B945" s="1"/>
      <c r="C945" s="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7"/>
      <c r="B946" s="1"/>
      <c r="C946" s="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7"/>
      <c r="B947" s="1"/>
      <c r="C947" s="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7"/>
      <c r="B948" s="1"/>
      <c r="C948" s="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7"/>
      <c r="B949" s="1"/>
      <c r="C949" s="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7"/>
      <c r="B950" s="1"/>
      <c r="C950" s="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7"/>
      <c r="B951" s="1"/>
      <c r="C951" s="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7"/>
      <c r="B952" s="1"/>
      <c r="C952" s="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7"/>
      <c r="B953" s="1"/>
      <c r="C953" s="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7"/>
      <c r="B954" s="1"/>
      <c r="C954" s="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7"/>
      <c r="B955" s="1"/>
      <c r="C955" s="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7"/>
      <c r="B956" s="1"/>
      <c r="C956" s="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7"/>
      <c r="B957" s="1"/>
      <c r="C957" s="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7"/>
      <c r="B958" s="1"/>
      <c r="C958" s="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7"/>
      <c r="B959" s="1"/>
      <c r="C959" s="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7"/>
      <c r="B960" s="1"/>
      <c r="C960" s="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7"/>
      <c r="B961" s="1"/>
      <c r="C961" s="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7"/>
      <c r="B962" s="1"/>
      <c r="C962" s="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7"/>
      <c r="B963" s="1"/>
      <c r="C963" s="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7"/>
      <c r="B964" s="1"/>
      <c r="C964" s="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7"/>
      <c r="B965" s="1"/>
      <c r="C965" s="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7"/>
      <c r="B966" s="1"/>
      <c r="C966" s="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7"/>
      <c r="B967" s="1"/>
      <c r="C967" s="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7"/>
      <c r="B968" s="1"/>
      <c r="C968" s="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7"/>
      <c r="B969" s="1"/>
      <c r="C969" s="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7"/>
      <c r="B970" s="1"/>
      <c r="C970" s="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7"/>
      <c r="B971" s="1"/>
      <c r="C971" s="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7"/>
      <c r="B972" s="1"/>
      <c r="C972" s="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7"/>
      <c r="B973" s="1"/>
      <c r="C973" s="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7"/>
      <c r="B974" s="1"/>
      <c r="C974" s="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7"/>
      <c r="B975" s="1"/>
      <c r="C975" s="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7"/>
      <c r="B976" s="1"/>
      <c r="C976" s="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7"/>
      <c r="B977" s="1"/>
      <c r="C977" s="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7"/>
      <c r="B978" s="1"/>
      <c r="C978" s="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7"/>
      <c r="B979" s="1"/>
      <c r="C979" s="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7"/>
      <c r="B980" s="1"/>
      <c r="C980" s="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7"/>
      <c r="B981" s="1"/>
      <c r="C981" s="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7"/>
      <c r="B982" s="1"/>
      <c r="C982" s="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7"/>
      <c r="B983" s="1"/>
      <c r="C983" s="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7"/>
      <c r="B984" s="1"/>
      <c r="C984" s="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7"/>
      <c r="B985" s="1"/>
      <c r="C985" s="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7"/>
      <c r="B986" s="1"/>
      <c r="C986" s="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7"/>
      <c r="B987" s="1"/>
      <c r="C987" s="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7"/>
      <c r="B988" s="1"/>
      <c r="C988" s="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7"/>
      <c r="B989" s="1"/>
      <c r="C989" s="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7"/>
      <c r="B990" s="1"/>
      <c r="C990" s="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7"/>
      <c r="B991" s="1"/>
      <c r="C991" s="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7"/>
      <c r="B992" s="1"/>
      <c r="C992" s="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7"/>
      <c r="B993" s="1"/>
      <c r="C993" s="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7"/>
      <c r="B994" s="1"/>
      <c r="C994" s="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7"/>
      <c r="B995" s="1"/>
      <c r="C995" s="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7"/>
      <c r="B996" s="1"/>
      <c r="C996" s="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7"/>
      <c r="B997" s="1"/>
      <c r="C997" s="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7"/>
      <c r="B998" s="1"/>
      <c r="C998" s="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7"/>
      <c r="B999" s="1"/>
      <c r="C999" s="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7"/>
      <c r="B1000" s="1"/>
      <c r="C1000" s="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0" customHeight="1">
      <c r="A1001" s="7"/>
      <c r="B1001" s="1"/>
      <c r="C1001" s="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0" customHeight="1">
      <c r="A1002" s="7"/>
      <c r="B1002" s="1"/>
      <c r="C1002" s="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0" customHeight="1">
      <c r="A1003" s="7"/>
      <c r="B1003" s="1"/>
      <c r="C1003" s="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0" customHeight="1">
      <c r="A1004" s="7"/>
      <c r="B1004" s="1"/>
      <c r="C1004" s="8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0" customHeight="1">
      <c r="A1005" s="7"/>
      <c r="B1005" s="1"/>
      <c r="C1005" s="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0" customHeight="1">
      <c r="A1006" s="7"/>
      <c r="B1006" s="1"/>
      <c r="C1006" s="8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0" customHeight="1">
      <c r="A1007" s="7"/>
      <c r="B1007" s="1"/>
      <c r="C1007" s="8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0" customHeight="1">
      <c r="A1008" s="7"/>
      <c r="B1008" s="1"/>
      <c r="C1008" s="8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0" customHeight="1">
      <c r="A1009" s="7"/>
      <c r="B1009" s="1"/>
      <c r="C1009" s="8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0" customHeight="1">
      <c r="A1010" s="7"/>
      <c r="B1010" s="1"/>
      <c r="C1010" s="8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2.0" customHeight="1">
      <c r="A1011" s="7"/>
      <c r="B1011" s="1"/>
      <c r="C1011" s="8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2.0" customHeight="1">
      <c r="A1012" s="7"/>
      <c r="B1012" s="1"/>
      <c r="C1012" s="8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0" customHeight="1">
      <c r="A1013" s="7"/>
      <c r="B1013" s="1"/>
      <c r="C1013" s="8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2.0" customHeight="1">
      <c r="A1014" s="7"/>
      <c r="B1014" s="1"/>
      <c r="C1014" s="8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2.0" customHeight="1">
      <c r="A1015" s="7"/>
      <c r="B1015" s="1"/>
      <c r="C1015" s="8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2.0" customHeight="1">
      <c r="A1016" s="7"/>
      <c r="B1016" s="1"/>
      <c r="C1016" s="8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2.0" customHeight="1">
      <c r="A1017" s="7"/>
      <c r="B1017" s="1"/>
      <c r="C1017" s="8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63"/>
    <col customWidth="1" min="3" max="3" width="13.25"/>
  </cols>
  <sheetData>
    <row r="1" ht="12.0" customHeight="1">
      <c r="A1" s="7"/>
      <c r="B1" s="1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7"/>
      <c r="B2" s="12" t="s">
        <v>63</v>
      </c>
      <c r="C2" s="10"/>
      <c r="D2" s="13"/>
      <c r="E2" s="1"/>
      <c r="F2" s="12"/>
      <c r="G2" s="1"/>
      <c r="H2" s="1"/>
      <c r="I2" s="1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7"/>
      <c r="B3" s="13" t="s">
        <v>28</v>
      </c>
      <c r="C3" s="15"/>
      <c r="D3" s="13"/>
      <c r="E3" s="1"/>
      <c r="F3" s="12"/>
      <c r="G3" s="1"/>
      <c r="H3" s="1"/>
      <c r="I3" s="1"/>
      <c r="J3" s="1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7"/>
      <c r="B4" s="13" t="s">
        <v>64</v>
      </c>
      <c r="C4" s="15">
        <f>IRR!C27</f>
        <v>0.1</v>
      </c>
      <c r="D4" s="13"/>
      <c r="E4" s="1"/>
      <c r="F4" s="12"/>
      <c r="G4" s="1"/>
      <c r="H4" s="1"/>
      <c r="I4" s="1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7"/>
      <c r="B5" s="13" t="s">
        <v>65</v>
      </c>
      <c r="C5" s="10"/>
      <c r="D5" s="13"/>
      <c r="E5" s="1"/>
      <c r="F5" s="12"/>
      <c r="G5" s="1"/>
      <c r="H5" s="1"/>
      <c r="I5" s="1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13"/>
      <c r="C6" s="10"/>
      <c r="D6" s="13"/>
      <c r="E6" s="1"/>
      <c r="F6" s="12"/>
      <c r="G6" s="1"/>
      <c r="H6" s="1"/>
      <c r="I6" s="1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7"/>
      <c r="B7" s="13"/>
      <c r="C7" s="10"/>
      <c r="D7" s="13"/>
      <c r="E7" s="1"/>
      <c r="F7" s="12"/>
      <c r="G7" s="1"/>
      <c r="H7" s="1"/>
      <c r="I7" s="1"/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7"/>
      <c r="B8" s="13"/>
      <c r="C8" s="10"/>
      <c r="D8" s="13"/>
      <c r="E8" s="1"/>
      <c r="F8" s="12"/>
      <c r="G8" s="1"/>
      <c r="H8" s="1"/>
      <c r="I8" s="1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7"/>
      <c r="B9" s="9" t="s">
        <v>13</v>
      </c>
      <c r="C9" s="10">
        <v>1.0E7</v>
      </c>
      <c r="D9" s="11" t="s">
        <v>14</v>
      </c>
      <c r="E9" s="1"/>
      <c r="F9" s="12" t="s">
        <v>15</v>
      </c>
      <c r="G9" s="1"/>
      <c r="H9" s="1"/>
      <c r="I9" s="1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7"/>
      <c r="B10" s="9" t="s">
        <v>16</v>
      </c>
      <c r="C10" s="10">
        <v>200000.0</v>
      </c>
      <c r="D10" s="11" t="s">
        <v>14</v>
      </c>
      <c r="E10" s="1"/>
      <c r="F10" s="13" t="s">
        <v>17</v>
      </c>
      <c r="G10" s="10">
        <v>1000000.0</v>
      </c>
      <c r="H10" s="14" t="s">
        <v>18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7"/>
      <c r="B11" s="9" t="s">
        <v>19</v>
      </c>
      <c r="C11" s="10">
        <v>1000000.0</v>
      </c>
      <c r="D11" s="11" t="s">
        <v>14</v>
      </c>
      <c r="E11" s="1"/>
      <c r="F11" s="13" t="s">
        <v>20</v>
      </c>
      <c r="G11" s="10">
        <v>2000000.0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7"/>
      <c r="B12" s="9" t="s">
        <v>21</v>
      </c>
      <c r="C12" s="10">
        <v>5.0</v>
      </c>
      <c r="D12" s="11" t="s">
        <v>22</v>
      </c>
      <c r="E12" s="1"/>
      <c r="F12" s="13" t="s">
        <v>23</v>
      </c>
      <c r="G12" s="10">
        <v>3000000.0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7"/>
      <c r="B13" s="9" t="s">
        <v>24</v>
      </c>
      <c r="C13" s="10">
        <v>4000000.0</v>
      </c>
      <c r="D13" s="11" t="s">
        <v>14</v>
      </c>
      <c r="E13" s="1"/>
      <c r="F13" s="13" t="s">
        <v>25</v>
      </c>
      <c r="G13" s="10">
        <v>4000000.0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7"/>
      <c r="B14" s="9" t="s">
        <v>26</v>
      </c>
      <c r="C14" s="15">
        <v>0.22</v>
      </c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7"/>
      <c r="B15" s="9" t="s">
        <v>27</v>
      </c>
      <c r="C15" s="15">
        <v>0.2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7"/>
      <c r="B16" s="1"/>
      <c r="C16" s="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7"/>
      <c r="B17" s="1"/>
      <c r="C17" s="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7"/>
      <c r="B18" s="19"/>
      <c r="C18" s="20">
        <v>0.0</v>
      </c>
      <c r="D18" s="21">
        <v>1.0</v>
      </c>
      <c r="E18" s="21">
        <v>2.0</v>
      </c>
      <c r="F18" s="21">
        <v>3.0</v>
      </c>
      <c r="G18" s="21">
        <v>4.0</v>
      </c>
      <c r="H18" s="21">
        <v>5.0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7"/>
      <c r="B19" s="9" t="s">
        <v>28</v>
      </c>
      <c r="C19" s="22"/>
      <c r="D19" s="22">
        <f t="shared" ref="D19:H19" si="1">(1+$C$3)*$C$13</f>
        <v>4000000</v>
      </c>
      <c r="E19" s="22">
        <f t="shared" si="1"/>
        <v>4000000</v>
      </c>
      <c r="F19" s="22">
        <f t="shared" si="1"/>
        <v>4000000</v>
      </c>
      <c r="G19" s="22">
        <f t="shared" si="1"/>
        <v>4000000</v>
      </c>
      <c r="H19" s="22">
        <f t="shared" si="1"/>
        <v>4000000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7"/>
      <c r="B20" s="23" t="s">
        <v>29</v>
      </c>
      <c r="C20" s="24"/>
      <c r="D20" s="24">
        <f t="shared" ref="D20:H20" si="2">-$C$9/$C$12</f>
        <v>-2000000</v>
      </c>
      <c r="E20" s="24">
        <f t="shared" si="2"/>
        <v>-2000000</v>
      </c>
      <c r="F20" s="24">
        <f t="shared" si="2"/>
        <v>-2000000</v>
      </c>
      <c r="G20" s="24">
        <f t="shared" si="2"/>
        <v>-2000000</v>
      </c>
      <c r="H20" s="24">
        <f t="shared" si="2"/>
        <v>-2000000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7"/>
      <c r="B21" s="9" t="s">
        <v>30</v>
      </c>
      <c r="C21" s="22"/>
      <c r="D21" s="22">
        <f t="shared" ref="D21:H21" si="3">sum(D19:D20)</f>
        <v>2000000</v>
      </c>
      <c r="E21" s="22">
        <f t="shared" si="3"/>
        <v>2000000</v>
      </c>
      <c r="F21" s="22">
        <f t="shared" si="3"/>
        <v>2000000</v>
      </c>
      <c r="G21" s="22">
        <f t="shared" si="3"/>
        <v>2000000</v>
      </c>
      <c r="H21" s="22">
        <f t="shared" si="3"/>
        <v>2000000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7"/>
      <c r="B22" s="23" t="s">
        <v>31</v>
      </c>
      <c r="C22" s="24"/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7"/>
      <c r="B23" s="9" t="s">
        <v>32</v>
      </c>
      <c r="C23" s="22"/>
      <c r="D23" s="22">
        <f t="shared" ref="D23:H23" si="4">sum(D21:D22)</f>
        <v>2000000</v>
      </c>
      <c r="E23" s="22">
        <f t="shared" si="4"/>
        <v>2000000</v>
      </c>
      <c r="F23" s="22">
        <f t="shared" si="4"/>
        <v>2000000</v>
      </c>
      <c r="G23" s="22">
        <f t="shared" si="4"/>
        <v>2000000</v>
      </c>
      <c r="H23" s="22">
        <f t="shared" si="4"/>
        <v>2000000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7"/>
      <c r="B24" s="23" t="s">
        <v>33</v>
      </c>
      <c r="C24" s="24"/>
      <c r="D24" s="24">
        <f t="shared" ref="D24:H24" si="5">-$C$14*D23</f>
        <v>-440000</v>
      </c>
      <c r="E24" s="24">
        <f t="shared" si="5"/>
        <v>-440000</v>
      </c>
      <c r="F24" s="24">
        <f t="shared" si="5"/>
        <v>-440000</v>
      </c>
      <c r="G24" s="24">
        <f t="shared" si="5"/>
        <v>-440000</v>
      </c>
      <c r="H24" s="24">
        <f t="shared" si="5"/>
        <v>-440000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7"/>
      <c r="B25" s="9" t="s">
        <v>34</v>
      </c>
      <c r="C25" s="22"/>
      <c r="D25" s="22">
        <f t="shared" ref="D25:H25" si="6">sum(D23:D24)</f>
        <v>1560000</v>
      </c>
      <c r="E25" s="22">
        <f t="shared" si="6"/>
        <v>1560000</v>
      </c>
      <c r="F25" s="22">
        <f t="shared" si="6"/>
        <v>1560000</v>
      </c>
      <c r="G25" s="22">
        <f t="shared" si="6"/>
        <v>1560000</v>
      </c>
      <c r="H25" s="22">
        <f t="shared" si="6"/>
        <v>1560000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7"/>
      <c r="B26" s="23" t="s">
        <v>35</v>
      </c>
      <c r="C26" s="24"/>
      <c r="D26" s="24">
        <f t="shared" ref="D26:H26" si="7">-D20</f>
        <v>2000000</v>
      </c>
      <c r="E26" s="24">
        <f t="shared" si="7"/>
        <v>2000000</v>
      </c>
      <c r="F26" s="24">
        <f t="shared" si="7"/>
        <v>2000000</v>
      </c>
      <c r="G26" s="24">
        <f t="shared" si="7"/>
        <v>2000000</v>
      </c>
      <c r="H26" s="24">
        <f t="shared" si="7"/>
        <v>2000000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7"/>
      <c r="B27" s="9" t="s">
        <v>36</v>
      </c>
      <c r="C27" s="22"/>
      <c r="D27" s="22">
        <f t="shared" ref="D27:H27" si="8">sum(D25:D26)</f>
        <v>3560000</v>
      </c>
      <c r="E27" s="22">
        <f t="shared" si="8"/>
        <v>3560000</v>
      </c>
      <c r="F27" s="22">
        <f t="shared" si="8"/>
        <v>3560000</v>
      </c>
      <c r="G27" s="22">
        <f t="shared" si="8"/>
        <v>3560000</v>
      </c>
      <c r="H27" s="22">
        <f t="shared" si="8"/>
        <v>3560000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7"/>
      <c r="B28" s="23" t="s">
        <v>37</v>
      </c>
      <c r="C28" s="24"/>
      <c r="D28" s="24"/>
      <c r="E28" s="24"/>
      <c r="F28" s="24"/>
      <c r="G28" s="24"/>
      <c r="H28" s="24">
        <f>C54</f>
        <v>6340000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7"/>
      <c r="B29" s="9" t="s">
        <v>38</v>
      </c>
      <c r="C29" s="22">
        <f>C41</f>
        <v>-14156000</v>
      </c>
      <c r="D29" s="22">
        <f t="shared" ref="D29:H29" si="9">sum(D27:D28)</f>
        <v>3560000</v>
      </c>
      <c r="E29" s="22">
        <f t="shared" si="9"/>
        <v>3560000</v>
      </c>
      <c r="F29" s="22">
        <f t="shared" si="9"/>
        <v>3560000</v>
      </c>
      <c r="G29" s="22">
        <f t="shared" si="9"/>
        <v>3560000</v>
      </c>
      <c r="H29" s="22">
        <f t="shared" si="9"/>
        <v>9900000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7"/>
      <c r="B30" s="9" t="s">
        <v>39</v>
      </c>
      <c r="C30" s="25">
        <f>irr(C29:H29)</f>
        <v>0.1732768544</v>
      </c>
      <c r="D30" s="22"/>
      <c r="E30" s="22"/>
      <c r="F30" s="22"/>
      <c r="G30" s="22"/>
      <c r="H30" s="2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7"/>
      <c r="B31" s="9" t="str">
        <f>"NPV at "&amp;text(C15,"##,00%")</f>
        <v>NPV at 20%</v>
      </c>
      <c r="C31" s="22">
        <f t="array" ref="C31">npv(C15,C29:H29)</f>
        <v>-801264.1461</v>
      </c>
      <c r="D31" s="8"/>
      <c r="E31" s="8"/>
      <c r="F31" s="8"/>
      <c r="G31" s="8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7"/>
      <c r="B32" s="1"/>
      <c r="C32" s="8"/>
      <c r="D32" s="8"/>
      <c r="E32" s="8"/>
      <c r="F32" s="8"/>
      <c r="G32" s="8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7"/>
      <c r="B33" s="1"/>
      <c r="C33" s="8"/>
      <c r="D33" s="8"/>
      <c r="E33" s="8"/>
      <c r="F33" s="8"/>
      <c r="G33" s="8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7"/>
      <c r="B34" s="27" t="s">
        <v>46</v>
      </c>
      <c r="C34" s="2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29" t="s">
        <v>47</v>
      </c>
      <c r="B35" s="11" t="s">
        <v>48</v>
      </c>
      <c r="C35" s="30">
        <v>0.0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29" t="s">
        <v>47</v>
      </c>
      <c r="B36" s="11" t="s">
        <v>13</v>
      </c>
      <c r="C36" s="28">
        <f>-(C9*(1+C4))</f>
        <v>-11000000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29" t="s">
        <v>47</v>
      </c>
      <c r="B37" s="11" t="s">
        <v>16</v>
      </c>
      <c r="C37" s="28">
        <f>-C10</f>
        <v>-200000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29" t="s">
        <v>47</v>
      </c>
      <c r="B38" s="11" t="s">
        <v>49</v>
      </c>
      <c r="C38" s="28">
        <f>-C14*C37</f>
        <v>44000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29" t="s">
        <v>47</v>
      </c>
      <c r="B39" s="11" t="s">
        <v>19</v>
      </c>
      <c r="C39" s="28">
        <f>-C11</f>
        <v>-1000000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29" t="s">
        <v>47</v>
      </c>
      <c r="B40" s="31" t="s">
        <v>50</v>
      </c>
      <c r="C40" s="32">
        <f>-G11</f>
        <v>-2000000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7"/>
      <c r="B41" s="11" t="s">
        <v>51</v>
      </c>
      <c r="C41" s="28">
        <f>sum(C35:C40)</f>
        <v>-14156000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7"/>
      <c r="B42" s="1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7"/>
      <c r="B43" s="1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7"/>
      <c r="B44" s="27" t="s">
        <v>52</v>
      </c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7"/>
      <c r="B45" s="11" t="s">
        <v>53</v>
      </c>
      <c r="C45" s="28">
        <f>C9</f>
        <v>10000000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7"/>
      <c r="B46" s="11" t="s">
        <v>54</v>
      </c>
      <c r="C46" s="28">
        <f>-C9/C12*5</f>
        <v>-10000000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7"/>
      <c r="B47" s="31" t="s">
        <v>55</v>
      </c>
      <c r="C47" s="32">
        <f>sum(C45:C46)</f>
        <v>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7"/>
      <c r="B48" s="31" t="s">
        <v>56</v>
      </c>
      <c r="C48" s="34">
        <v>3000000.0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7"/>
      <c r="B49" s="11" t="s">
        <v>57</v>
      </c>
      <c r="C49" s="28">
        <f>C48-C47</f>
        <v>3000000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7"/>
      <c r="B50" s="31" t="s">
        <v>58</v>
      </c>
      <c r="C50" s="32">
        <f>-C14*C49</f>
        <v>-660000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7"/>
      <c r="B51" s="11" t="s">
        <v>59</v>
      </c>
      <c r="C51" s="28">
        <f>sum(C49:C50)</f>
        <v>2340000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7"/>
      <c r="B52" s="11" t="s">
        <v>60</v>
      </c>
      <c r="C52" s="30">
        <f>C11</f>
        <v>1000000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7"/>
      <c r="B53" s="31" t="s">
        <v>61</v>
      </c>
      <c r="C53" s="32">
        <f>G12</f>
        <v>3000000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7"/>
      <c r="B54" s="11" t="s">
        <v>62</v>
      </c>
      <c r="C54" s="28">
        <f>sum(C51:C53)</f>
        <v>6340000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7"/>
      <c r="B55" s="1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7"/>
      <c r="B56" s="1"/>
      <c r="C56" s="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7"/>
      <c r="B57" s="1"/>
      <c r="C57" s="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7"/>
      <c r="B58" s="1"/>
      <c r="C58" s="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7"/>
      <c r="B59" s="1"/>
      <c r="C59" s="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7"/>
      <c r="B60" s="1"/>
      <c r="C60" s="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7"/>
      <c r="B61" s="1"/>
      <c r="C61" s="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7"/>
      <c r="B62" s="1"/>
      <c r="C62" s="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7"/>
      <c r="B63" s="1"/>
      <c r="C63" s="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7"/>
      <c r="B64" s="1"/>
      <c r="C64" s="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7"/>
      <c r="B65" s="1"/>
      <c r="C65" s="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7"/>
      <c r="B66" s="1"/>
      <c r="C66" s="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7"/>
      <c r="B67" s="1"/>
      <c r="C67" s="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7"/>
      <c r="B68" s="1"/>
      <c r="C68" s="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7"/>
      <c r="B69" s="1"/>
      <c r="C69" s="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7"/>
      <c r="B70" s="1"/>
      <c r="C70" s="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7"/>
      <c r="B71" s="1"/>
      <c r="C71" s="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7"/>
      <c r="B72" s="1"/>
      <c r="C72" s="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7"/>
      <c r="B73" s="1"/>
      <c r="C73" s="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7"/>
      <c r="B74" s="1"/>
      <c r="C74" s="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7"/>
      <c r="B75" s="1"/>
      <c r="C75" s="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7"/>
      <c r="B76" s="1"/>
      <c r="C76" s="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7"/>
      <c r="B77" s="1"/>
      <c r="C77" s="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7"/>
      <c r="B78" s="1"/>
      <c r="C78" s="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7"/>
      <c r="B79" s="1"/>
      <c r="C79" s="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7"/>
      <c r="B80" s="1"/>
      <c r="C80" s="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7"/>
      <c r="B81" s="1"/>
      <c r="C81" s="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7"/>
      <c r="B82" s="1"/>
      <c r="C82" s="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7"/>
      <c r="B83" s="1"/>
      <c r="C83" s="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7"/>
      <c r="B84" s="1"/>
      <c r="C84" s="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7"/>
      <c r="B85" s="1"/>
      <c r="C85" s="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7"/>
      <c r="B86" s="1"/>
      <c r="C86" s="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7"/>
      <c r="B87" s="1"/>
      <c r="C87" s="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7"/>
      <c r="B88" s="1"/>
      <c r="C88" s="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7"/>
      <c r="B89" s="1"/>
      <c r="C89" s="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7"/>
      <c r="B90" s="1"/>
      <c r="C90" s="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7"/>
      <c r="B91" s="1"/>
      <c r="C91" s="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7"/>
      <c r="B92" s="1"/>
      <c r="C92" s="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7"/>
      <c r="B93" s="1"/>
      <c r="C93" s="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7"/>
      <c r="B94" s="1"/>
      <c r="C94" s="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7"/>
      <c r="B95" s="1"/>
      <c r="C95" s="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7"/>
      <c r="B96" s="1"/>
      <c r="C96" s="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7"/>
      <c r="B97" s="1"/>
      <c r="C97" s="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7"/>
      <c r="B98" s="1"/>
      <c r="C98" s="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7"/>
      <c r="B99" s="1"/>
      <c r="C99" s="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7"/>
      <c r="B100" s="1"/>
      <c r="C100" s="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7"/>
      <c r="B101" s="1"/>
      <c r="C101" s="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7"/>
      <c r="B102" s="1"/>
      <c r="C102" s="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7"/>
      <c r="B103" s="1"/>
      <c r="C103" s="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7"/>
      <c r="B104" s="1"/>
      <c r="C104" s="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7"/>
      <c r="B105" s="1"/>
      <c r="C105" s="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7"/>
      <c r="B106" s="1"/>
      <c r="C106" s="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7"/>
      <c r="B107" s="1"/>
      <c r="C107" s="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7"/>
      <c r="B108" s="1"/>
      <c r="C108" s="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7"/>
      <c r="B109" s="1"/>
      <c r="C109" s="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7"/>
      <c r="B110" s="1"/>
      <c r="C110" s="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7"/>
      <c r="B111" s="1"/>
      <c r="C111" s="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7"/>
      <c r="B112" s="1"/>
      <c r="C112" s="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7"/>
      <c r="B113" s="1"/>
      <c r="C113" s="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7"/>
      <c r="B114" s="1"/>
      <c r="C114" s="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7"/>
      <c r="B115" s="1"/>
      <c r="C115" s="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7"/>
      <c r="B116" s="1"/>
      <c r="C116" s="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7"/>
      <c r="B117" s="1"/>
      <c r="C117" s="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7"/>
      <c r="B118" s="1"/>
      <c r="C118" s="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7"/>
      <c r="B119" s="1"/>
      <c r="C119" s="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7"/>
      <c r="B120" s="1"/>
      <c r="C120" s="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7"/>
      <c r="B121" s="1"/>
      <c r="C121" s="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7"/>
      <c r="B122" s="1"/>
      <c r="C122" s="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7"/>
      <c r="B123" s="1"/>
      <c r="C123" s="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7"/>
      <c r="B124" s="1"/>
      <c r="C124" s="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7"/>
      <c r="B125" s="1"/>
      <c r="C125" s="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7"/>
      <c r="B126" s="1"/>
      <c r="C126" s="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7"/>
      <c r="B127" s="1"/>
      <c r="C127" s="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7"/>
      <c r="B128" s="1"/>
      <c r="C128" s="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7"/>
      <c r="B129" s="1"/>
      <c r="C129" s="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7"/>
      <c r="B130" s="1"/>
      <c r="C130" s="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7"/>
      <c r="B131" s="1"/>
      <c r="C131" s="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7"/>
      <c r="B132" s="1"/>
      <c r="C132" s="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7"/>
      <c r="B133" s="1"/>
      <c r="C133" s="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7"/>
      <c r="B134" s="1"/>
      <c r="C134" s="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7"/>
      <c r="B135" s="1"/>
      <c r="C135" s="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7"/>
      <c r="B136" s="1"/>
      <c r="C136" s="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7"/>
      <c r="B137" s="1"/>
      <c r="C137" s="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7"/>
      <c r="B138" s="1"/>
      <c r="C138" s="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7"/>
      <c r="B139" s="1"/>
      <c r="C139" s="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7"/>
      <c r="B140" s="1"/>
      <c r="C140" s="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7"/>
      <c r="B141" s="1"/>
      <c r="C141" s="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7"/>
      <c r="B142" s="1"/>
      <c r="C142" s="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7"/>
      <c r="B143" s="1"/>
      <c r="C143" s="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7"/>
      <c r="B144" s="1"/>
      <c r="C144" s="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7"/>
      <c r="B145" s="1"/>
      <c r="C145" s="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7"/>
      <c r="B146" s="1"/>
      <c r="C146" s="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7"/>
      <c r="B147" s="1"/>
      <c r="C147" s="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7"/>
      <c r="B148" s="1"/>
      <c r="C148" s="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7"/>
      <c r="B149" s="1"/>
      <c r="C149" s="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7"/>
      <c r="B150" s="1"/>
      <c r="C150" s="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7"/>
      <c r="B151" s="1"/>
      <c r="C151" s="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7"/>
      <c r="B152" s="1"/>
      <c r="C152" s="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7"/>
      <c r="B153" s="1"/>
      <c r="C153" s="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7"/>
      <c r="B154" s="1"/>
      <c r="C154" s="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7"/>
      <c r="B155" s="1"/>
      <c r="C155" s="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7"/>
      <c r="B156" s="1"/>
      <c r="C156" s="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7"/>
      <c r="B157" s="1"/>
      <c r="C157" s="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7"/>
      <c r="B158" s="1"/>
      <c r="C158" s="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7"/>
      <c r="B159" s="1"/>
      <c r="C159" s="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7"/>
      <c r="B160" s="1"/>
      <c r="C160" s="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7"/>
      <c r="B161" s="1"/>
      <c r="C161" s="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7"/>
      <c r="B162" s="1"/>
      <c r="C162" s="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7"/>
      <c r="B163" s="1"/>
      <c r="C163" s="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7"/>
      <c r="B164" s="1"/>
      <c r="C164" s="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7"/>
      <c r="B165" s="1"/>
      <c r="C165" s="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7"/>
      <c r="B166" s="1"/>
      <c r="C166" s="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7"/>
      <c r="B167" s="1"/>
      <c r="C167" s="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7"/>
      <c r="B168" s="1"/>
      <c r="C168" s="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7"/>
      <c r="B169" s="1"/>
      <c r="C169" s="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7"/>
      <c r="B170" s="1"/>
      <c r="C170" s="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7"/>
      <c r="B171" s="1"/>
      <c r="C171" s="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7"/>
      <c r="B172" s="1"/>
      <c r="C172" s="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7"/>
      <c r="B173" s="1"/>
      <c r="C173" s="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7"/>
      <c r="B174" s="1"/>
      <c r="C174" s="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7"/>
      <c r="B175" s="1"/>
      <c r="C175" s="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7"/>
      <c r="B176" s="1"/>
      <c r="C176" s="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7"/>
      <c r="B177" s="1"/>
      <c r="C177" s="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7"/>
      <c r="B178" s="1"/>
      <c r="C178" s="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7"/>
      <c r="B179" s="1"/>
      <c r="C179" s="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7"/>
      <c r="B180" s="1"/>
      <c r="C180" s="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7"/>
      <c r="B181" s="1"/>
      <c r="C181" s="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7"/>
      <c r="B182" s="1"/>
      <c r="C182" s="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7"/>
      <c r="B183" s="1"/>
      <c r="C183" s="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7"/>
      <c r="B184" s="1"/>
      <c r="C184" s="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7"/>
      <c r="B185" s="1"/>
      <c r="C185" s="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7"/>
      <c r="B186" s="1"/>
      <c r="C186" s="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7"/>
      <c r="B187" s="1"/>
      <c r="C187" s="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7"/>
      <c r="B188" s="1"/>
      <c r="C188" s="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7"/>
      <c r="B189" s="1"/>
      <c r="C189" s="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7"/>
      <c r="B190" s="1"/>
      <c r="C190" s="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7"/>
      <c r="B191" s="1"/>
      <c r="C191" s="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7"/>
      <c r="B192" s="1"/>
      <c r="C192" s="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7"/>
      <c r="B193" s="1"/>
      <c r="C193" s="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7"/>
      <c r="B194" s="1"/>
      <c r="C194" s="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7"/>
      <c r="B195" s="1"/>
      <c r="C195" s="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7"/>
      <c r="B196" s="1"/>
      <c r="C196" s="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7"/>
      <c r="B197" s="1"/>
      <c r="C197" s="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7"/>
      <c r="B198" s="1"/>
      <c r="C198" s="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7"/>
      <c r="B199" s="1"/>
      <c r="C199" s="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7"/>
      <c r="B200" s="1"/>
      <c r="C200" s="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7"/>
      <c r="B201" s="1"/>
      <c r="C201" s="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7"/>
      <c r="B202" s="1"/>
      <c r="C202" s="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7"/>
      <c r="B203" s="1"/>
      <c r="C203" s="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7"/>
      <c r="B204" s="1"/>
      <c r="C204" s="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7"/>
      <c r="B205" s="1"/>
      <c r="C205" s="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7"/>
      <c r="B206" s="1"/>
      <c r="C206" s="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7"/>
      <c r="B207" s="1"/>
      <c r="C207" s="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7"/>
      <c r="B208" s="1"/>
      <c r="C208" s="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7"/>
      <c r="B209" s="1"/>
      <c r="C209" s="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7"/>
      <c r="B210" s="1"/>
      <c r="C210" s="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7"/>
      <c r="B211" s="1"/>
      <c r="C211" s="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7"/>
      <c r="B212" s="1"/>
      <c r="C212" s="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7"/>
      <c r="B213" s="1"/>
      <c r="C213" s="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7"/>
      <c r="B214" s="1"/>
      <c r="C214" s="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7"/>
      <c r="B215" s="1"/>
      <c r="C215" s="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7"/>
      <c r="B216" s="1"/>
      <c r="C216" s="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7"/>
      <c r="B217" s="1"/>
      <c r="C217" s="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7"/>
      <c r="B218" s="1"/>
      <c r="C218" s="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7"/>
      <c r="B219" s="1"/>
      <c r="C219" s="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7"/>
      <c r="B220" s="1"/>
      <c r="C220" s="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7"/>
      <c r="B221" s="1"/>
      <c r="C221" s="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7"/>
      <c r="B222" s="1"/>
      <c r="C222" s="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7"/>
      <c r="B223" s="1"/>
      <c r="C223" s="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7"/>
      <c r="B224" s="1"/>
      <c r="C224" s="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7"/>
      <c r="B225" s="1"/>
      <c r="C225" s="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7"/>
      <c r="B226" s="1"/>
      <c r="C226" s="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7"/>
      <c r="B227" s="1"/>
      <c r="C227" s="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7"/>
      <c r="B228" s="1"/>
      <c r="C228" s="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7"/>
      <c r="B229" s="1"/>
      <c r="C229" s="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7"/>
      <c r="B230" s="1"/>
      <c r="C230" s="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7"/>
      <c r="B231" s="1"/>
      <c r="C231" s="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7"/>
      <c r="B232" s="1"/>
      <c r="C232" s="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7"/>
      <c r="B233" s="1"/>
      <c r="C233" s="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7"/>
      <c r="B234" s="1"/>
      <c r="C234" s="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7"/>
      <c r="B235" s="1"/>
      <c r="C235" s="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7"/>
      <c r="B236" s="1"/>
      <c r="C236" s="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7"/>
      <c r="B237" s="1"/>
      <c r="C237" s="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7"/>
      <c r="B238" s="1"/>
      <c r="C238" s="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7"/>
      <c r="B239" s="1"/>
      <c r="C239" s="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7"/>
      <c r="B240" s="1"/>
      <c r="C240" s="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7"/>
      <c r="B241" s="1"/>
      <c r="C241" s="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7"/>
      <c r="B242" s="1"/>
      <c r="C242" s="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7"/>
      <c r="B243" s="1"/>
      <c r="C243" s="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7"/>
      <c r="B244" s="1"/>
      <c r="C244" s="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7"/>
      <c r="B245" s="1"/>
      <c r="C245" s="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7"/>
      <c r="B246" s="1"/>
      <c r="C246" s="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7"/>
      <c r="B247" s="1"/>
      <c r="C247" s="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7"/>
      <c r="B248" s="1"/>
      <c r="C248" s="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7"/>
      <c r="B249" s="1"/>
      <c r="C249" s="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7"/>
      <c r="B250" s="1"/>
      <c r="C250" s="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7"/>
      <c r="B251" s="1"/>
      <c r="C251" s="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7"/>
      <c r="B252" s="1"/>
      <c r="C252" s="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7"/>
      <c r="B253" s="1"/>
      <c r="C253" s="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7"/>
      <c r="B254" s="1"/>
      <c r="C254" s="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7"/>
      <c r="B255" s="1"/>
      <c r="C255" s="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7"/>
      <c r="B256" s="1"/>
      <c r="C256" s="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7"/>
      <c r="B257" s="1"/>
      <c r="C257" s="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7"/>
      <c r="B258" s="1"/>
      <c r="C258" s="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7"/>
      <c r="B259" s="1"/>
      <c r="C259" s="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7"/>
      <c r="B260" s="1"/>
      <c r="C260" s="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7"/>
      <c r="B261" s="1"/>
      <c r="C261" s="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7"/>
      <c r="B262" s="1"/>
      <c r="C262" s="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7"/>
      <c r="B263" s="1"/>
      <c r="C263" s="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7"/>
      <c r="B264" s="1"/>
      <c r="C264" s="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7"/>
      <c r="B265" s="1"/>
      <c r="C265" s="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7"/>
      <c r="B266" s="1"/>
      <c r="C266" s="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7"/>
      <c r="B267" s="1"/>
      <c r="C267" s="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7"/>
      <c r="B268" s="1"/>
      <c r="C268" s="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7"/>
      <c r="B269" s="1"/>
      <c r="C269" s="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7"/>
      <c r="B270" s="1"/>
      <c r="C270" s="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7"/>
      <c r="B271" s="1"/>
      <c r="C271" s="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7"/>
      <c r="B272" s="1"/>
      <c r="C272" s="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7"/>
      <c r="B273" s="1"/>
      <c r="C273" s="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7"/>
      <c r="B274" s="1"/>
      <c r="C274" s="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7"/>
      <c r="B275" s="1"/>
      <c r="C275" s="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7"/>
      <c r="B276" s="1"/>
      <c r="C276" s="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7"/>
      <c r="B277" s="1"/>
      <c r="C277" s="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7"/>
      <c r="B278" s="1"/>
      <c r="C278" s="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7"/>
      <c r="B279" s="1"/>
      <c r="C279" s="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7"/>
      <c r="B280" s="1"/>
      <c r="C280" s="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7"/>
      <c r="B281" s="1"/>
      <c r="C281" s="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7"/>
      <c r="B282" s="1"/>
      <c r="C282" s="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7"/>
      <c r="B283" s="1"/>
      <c r="C283" s="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7"/>
      <c r="B284" s="1"/>
      <c r="C284" s="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7"/>
      <c r="B285" s="1"/>
      <c r="C285" s="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7"/>
      <c r="B286" s="1"/>
      <c r="C286" s="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7"/>
      <c r="B287" s="1"/>
      <c r="C287" s="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7"/>
      <c r="B288" s="1"/>
      <c r="C288" s="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7"/>
      <c r="B289" s="1"/>
      <c r="C289" s="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7"/>
      <c r="B290" s="1"/>
      <c r="C290" s="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7"/>
      <c r="B291" s="1"/>
      <c r="C291" s="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7"/>
      <c r="B292" s="1"/>
      <c r="C292" s="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7"/>
      <c r="B293" s="1"/>
      <c r="C293" s="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7"/>
      <c r="B294" s="1"/>
      <c r="C294" s="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7"/>
      <c r="B295" s="1"/>
      <c r="C295" s="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7"/>
      <c r="B296" s="1"/>
      <c r="C296" s="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7"/>
      <c r="B297" s="1"/>
      <c r="C297" s="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7"/>
      <c r="B298" s="1"/>
      <c r="C298" s="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7"/>
      <c r="B299" s="1"/>
      <c r="C299" s="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7"/>
      <c r="B300" s="1"/>
      <c r="C300" s="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7"/>
      <c r="B301" s="1"/>
      <c r="C301" s="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7"/>
      <c r="B302" s="1"/>
      <c r="C302" s="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7"/>
      <c r="B303" s="1"/>
      <c r="C303" s="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7"/>
      <c r="B304" s="1"/>
      <c r="C304" s="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7"/>
      <c r="B305" s="1"/>
      <c r="C305" s="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7"/>
      <c r="B306" s="1"/>
      <c r="C306" s="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7"/>
      <c r="B307" s="1"/>
      <c r="C307" s="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7"/>
      <c r="B308" s="1"/>
      <c r="C308" s="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7"/>
      <c r="B309" s="1"/>
      <c r="C309" s="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7"/>
      <c r="B310" s="1"/>
      <c r="C310" s="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7"/>
      <c r="B311" s="1"/>
      <c r="C311" s="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7"/>
      <c r="B312" s="1"/>
      <c r="C312" s="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7"/>
      <c r="B313" s="1"/>
      <c r="C313" s="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7"/>
      <c r="B314" s="1"/>
      <c r="C314" s="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7"/>
      <c r="B315" s="1"/>
      <c r="C315" s="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7"/>
      <c r="B316" s="1"/>
      <c r="C316" s="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7"/>
      <c r="B317" s="1"/>
      <c r="C317" s="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7"/>
      <c r="B318" s="1"/>
      <c r="C318" s="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7"/>
      <c r="B319" s="1"/>
      <c r="C319" s="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7"/>
      <c r="B320" s="1"/>
      <c r="C320" s="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7"/>
      <c r="B321" s="1"/>
      <c r="C321" s="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7"/>
      <c r="B322" s="1"/>
      <c r="C322" s="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7"/>
      <c r="B323" s="1"/>
      <c r="C323" s="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7"/>
      <c r="B324" s="1"/>
      <c r="C324" s="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7"/>
      <c r="B325" s="1"/>
      <c r="C325" s="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7"/>
      <c r="B326" s="1"/>
      <c r="C326" s="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7"/>
      <c r="B327" s="1"/>
      <c r="C327" s="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7"/>
      <c r="B328" s="1"/>
      <c r="C328" s="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7"/>
      <c r="B329" s="1"/>
      <c r="C329" s="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7"/>
      <c r="B330" s="1"/>
      <c r="C330" s="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7"/>
      <c r="B331" s="1"/>
      <c r="C331" s="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7"/>
      <c r="B332" s="1"/>
      <c r="C332" s="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7"/>
      <c r="B333" s="1"/>
      <c r="C333" s="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7"/>
      <c r="B334" s="1"/>
      <c r="C334" s="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7"/>
      <c r="B335" s="1"/>
      <c r="C335" s="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7"/>
      <c r="B336" s="1"/>
      <c r="C336" s="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7"/>
      <c r="B337" s="1"/>
      <c r="C337" s="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7"/>
      <c r="B338" s="1"/>
      <c r="C338" s="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7"/>
      <c r="B339" s="1"/>
      <c r="C339" s="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7"/>
      <c r="B340" s="1"/>
      <c r="C340" s="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7"/>
      <c r="B341" s="1"/>
      <c r="C341" s="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7"/>
      <c r="B342" s="1"/>
      <c r="C342" s="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7"/>
      <c r="B343" s="1"/>
      <c r="C343" s="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7"/>
      <c r="B344" s="1"/>
      <c r="C344" s="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7"/>
      <c r="B345" s="1"/>
      <c r="C345" s="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7"/>
      <c r="B346" s="1"/>
      <c r="C346" s="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7"/>
      <c r="B347" s="1"/>
      <c r="C347" s="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7"/>
      <c r="B348" s="1"/>
      <c r="C348" s="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7"/>
      <c r="B349" s="1"/>
      <c r="C349" s="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7"/>
      <c r="B350" s="1"/>
      <c r="C350" s="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7"/>
      <c r="B351" s="1"/>
      <c r="C351" s="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7"/>
      <c r="B352" s="1"/>
      <c r="C352" s="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7"/>
      <c r="B353" s="1"/>
      <c r="C353" s="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7"/>
      <c r="B354" s="1"/>
      <c r="C354" s="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7"/>
      <c r="B355" s="1"/>
      <c r="C355" s="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7"/>
      <c r="B356" s="1"/>
      <c r="C356" s="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7"/>
      <c r="B357" s="1"/>
      <c r="C357" s="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7"/>
      <c r="B358" s="1"/>
      <c r="C358" s="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7"/>
      <c r="B359" s="1"/>
      <c r="C359" s="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7"/>
      <c r="B360" s="1"/>
      <c r="C360" s="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7"/>
      <c r="B361" s="1"/>
      <c r="C361" s="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7"/>
      <c r="B362" s="1"/>
      <c r="C362" s="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7"/>
      <c r="B363" s="1"/>
      <c r="C363" s="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7"/>
      <c r="B364" s="1"/>
      <c r="C364" s="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7"/>
      <c r="B365" s="1"/>
      <c r="C365" s="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7"/>
      <c r="B366" s="1"/>
      <c r="C366" s="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7"/>
      <c r="B367" s="1"/>
      <c r="C367" s="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7"/>
      <c r="B368" s="1"/>
      <c r="C368" s="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7"/>
      <c r="B369" s="1"/>
      <c r="C369" s="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7"/>
      <c r="B370" s="1"/>
      <c r="C370" s="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7"/>
      <c r="B371" s="1"/>
      <c r="C371" s="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7"/>
      <c r="B372" s="1"/>
      <c r="C372" s="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7"/>
      <c r="B373" s="1"/>
      <c r="C373" s="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7"/>
      <c r="B374" s="1"/>
      <c r="C374" s="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7"/>
      <c r="B375" s="1"/>
      <c r="C375" s="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7"/>
      <c r="B376" s="1"/>
      <c r="C376" s="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7"/>
      <c r="B377" s="1"/>
      <c r="C377" s="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7"/>
      <c r="B378" s="1"/>
      <c r="C378" s="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7"/>
      <c r="B379" s="1"/>
      <c r="C379" s="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7"/>
      <c r="B380" s="1"/>
      <c r="C380" s="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7"/>
      <c r="B381" s="1"/>
      <c r="C381" s="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7"/>
      <c r="B382" s="1"/>
      <c r="C382" s="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7"/>
      <c r="B383" s="1"/>
      <c r="C383" s="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7"/>
      <c r="B384" s="1"/>
      <c r="C384" s="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7"/>
      <c r="B385" s="1"/>
      <c r="C385" s="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7"/>
      <c r="B386" s="1"/>
      <c r="C386" s="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7"/>
      <c r="B387" s="1"/>
      <c r="C387" s="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7"/>
      <c r="B388" s="1"/>
      <c r="C388" s="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7"/>
      <c r="B389" s="1"/>
      <c r="C389" s="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7"/>
      <c r="B390" s="1"/>
      <c r="C390" s="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7"/>
      <c r="B391" s="1"/>
      <c r="C391" s="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7"/>
      <c r="B392" s="1"/>
      <c r="C392" s="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7"/>
      <c r="B393" s="1"/>
      <c r="C393" s="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7"/>
      <c r="B394" s="1"/>
      <c r="C394" s="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7"/>
      <c r="B395" s="1"/>
      <c r="C395" s="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7"/>
      <c r="B396" s="1"/>
      <c r="C396" s="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7"/>
      <c r="B397" s="1"/>
      <c r="C397" s="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7"/>
      <c r="B398" s="1"/>
      <c r="C398" s="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7"/>
      <c r="B399" s="1"/>
      <c r="C399" s="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7"/>
      <c r="B400" s="1"/>
      <c r="C400" s="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7"/>
      <c r="B401" s="1"/>
      <c r="C401" s="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7"/>
      <c r="B402" s="1"/>
      <c r="C402" s="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7"/>
      <c r="B403" s="1"/>
      <c r="C403" s="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7"/>
      <c r="B404" s="1"/>
      <c r="C404" s="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7"/>
      <c r="B405" s="1"/>
      <c r="C405" s="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7"/>
      <c r="B406" s="1"/>
      <c r="C406" s="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7"/>
      <c r="B407" s="1"/>
      <c r="C407" s="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7"/>
      <c r="B408" s="1"/>
      <c r="C408" s="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7"/>
      <c r="B409" s="1"/>
      <c r="C409" s="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7"/>
      <c r="B410" s="1"/>
      <c r="C410" s="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7"/>
      <c r="B411" s="1"/>
      <c r="C411" s="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7"/>
      <c r="B412" s="1"/>
      <c r="C412" s="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7"/>
      <c r="B413" s="1"/>
      <c r="C413" s="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7"/>
      <c r="B414" s="1"/>
      <c r="C414" s="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7"/>
      <c r="B415" s="1"/>
      <c r="C415" s="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7"/>
      <c r="B416" s="1"/>
      <c r="C416" s="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7"/>
      <c r="B417" s="1"/>
      <c r="C417" s="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7"/>
      <c r="B418" s="1"/>
      <c r="C418" s="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7"/>
      <c r="B419" s="1"/>
      <c r="C419" s="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7"/>
      <c r="B420" s="1"/>
      <c r="C420" s="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7"/>
      <c r="B421" s="1"/>
      <c r="C421" s="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7"/>
      <c r="B422" s="1"/>
      <c r="C422" s="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7"/>
      <c r="B423" s="1"/>
      <c r="C423" s="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7"/>
      <c r="B424" s="1"/>
      <c r="C424" s="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7"/>
      <c r="B425" s="1"/>
      <c r="C425" s="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7"/>
      <c r="B426" s="1"/>
      <c r="C426" s="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7"/>
      <c r="B427" s="1"/>
      <c r="C427" s="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7"/>
      <c r="B428" s="1"/>
      <c r="C428" s="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7"/>
      <c r="B429" s="1"/>
      <c r="C429" s="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7"/>
      <c r="B430" s="1"/>
      <c r="C430" s="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7"/>
      <c r="B431" s="1"/>
      <c r="C431" s="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7"/>
      <c r="B432" s="1"/>
      <c r="C432" s="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7"/>
      <c r="B433" s="1"/>
      <c r="C433" s="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7"/>
      <c r="B434" s="1"/>
      <c r="C434" s="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7"/>
      <c r="B435" s="1"/>
      <c r="C435" s="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7"/>
      <c r="B436" s="1"/>
      <c r="C436" s="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7"/>
      <c r="B437" s="1"/>
      <c r="C437" s="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7"/>
      <c r="B438" s="1"/>
      <c r="C438" s="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7"/>
      <c r="B439" s="1"/>
      <c r="C439" s="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7"/>
      <c r="B440" s="1"/>
      <c r="C440" s="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7"/>
      <c r="B441" s="1"/>
      <c r="C441" s="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7"/>
      <c r="B442" s="1"/>
      <c r="C442" s="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7"/>
      <c r="B443" s="1"/>
      <c r="C443" s="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7"/>
      <c r="B444" s="1"/>
      <c r="C444" s="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7"/>
      <c r="B445" s="1"/>
      <c r="C445" s="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7"/>
      <c r="B446" s="1"/>
      <c r="C446" s="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7"/>
      <c r="B447" s="1"/>
      <c r="C447" s="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7"/>
      <c r="B448" s="1"/>
      <c r="C448" s="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7"/>
      <c r="B449" s="1"/>
      <c r="C449" s="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7"/>
      <c r="B450" s="1"/>
      <c r="C450" s="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7"/>
      <c r="B451" s="1"/>
      <c r="C451" s="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7"/>
      <c r="B452" s="1"/>
      <c r="C452" s="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7"/>
      <c r="B453" s="1"/>
      <c r="C453" s="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7"/>
      <c r="B454" s="1"/>
      <c r="C454" s="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7"/>
      <c r="B455" s="1"/>
      <c r="C455" s="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7"/>
      <c r="B456" s="1"/>
      <c r="C456" s="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7"/>
      <c r="B457" s="1"/>
      <c r="C457" s="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7"/>
      <c r="B458" s="1"/>
      <c r="C458" s="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7"/>
      <c r="B459" s="1"/>
      <c r="C459" s="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7"/>
      <c r="B460" s="1"/>
      <c r="C460" s="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7"/>
      <c r="B461" s="1"/>
      <c r="C461" s="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7"/>
      <c r="B462" s="1"/>
      <c r="C462" s="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7"/>
      <c r="B463" s="1"/>
      <c r="C463" s="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7"/>
      <c r="B464" s="1"/>
      <c r="C464" s="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7"/>
      <c r="B465" s="1"/>
      <c r="C465" s="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7"/>
      <c r="B466" s="1"/>
      <c r="C466" s="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7"/>
      <c r="B467" s="1"/>
      <c r="C467" s="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7"/>
      <c r="B468" s="1"/>
      <c r="C468" s="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7"/>
      <c r="B469" s="1"/>
      <c r="C469" s="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7"/>
      <c r="B470" s="1"/>
      <c r="C470" s="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7"/>
      <c r="B471" s="1"/>
      <c r="C471" s="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7"/>
      <c r="B472" s="1"/>
      <c r="C472" s="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7"/>
      <c r="B473" s="1"/>
      <c r="C473" s="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7"/>
      <c r="B474" s="1"/>
      <c r="C474" s="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7"/>
      <c r="B475" s="1"/>
      <c r="C475" s="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7"/>
      <c r="B476" s="1"/>
      <c r="C476" s="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7"/>
      <c r="B477" s="1"/>
      <c r="C477" s="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7"/>
      <c r="B478" s="1"/>
      <c r="C478" s="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7"/>
      <c r="B479" s="1"/>
      <c r="C479" s="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7"/>
      <c r="B480" s="1"/>
      <c r="C480" s="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7"/>
      <c r="B481" s="1"/>
      <c r="C481" s="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7"/>
      <c r="B482" s="1"/>
      <c r="C482" s="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7"/>
      <c r="B483" s="1"/>
      <c r="C483" s="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7"/>
      <c r="B484" s="1"/>
      <c r="C484" s="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7"/>
      <c r="B485" s="1"/>
      <c r="C485" s="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7"/>
      <c r="B486" s="1"/>
      <c r="C486" s="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7"/>
      <c r="B487" s="1"/>
      <c r="C487" s="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7"/>
      <c r="B488" s="1"/>
      <c r="C488" s="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7"/>
      <c r="B489" s="1"/>
      <c r="C489" s="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7"/>
      <c r="B490" s="1"/>
      <c r="C490" s="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7"/>
      <c r="B491" s="1"/>
      <c r="C491" s="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7"/>
      <c r="B492" s="1"/>
      <c r="C492" s="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7"/>
      <c r="B493" s="1"/>
      <c r="C493" s="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7"/>
      <c r="B494" s="1"/>
      <c r="C494" s="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7"/>
      <c r="B495" s="1"/>
      <c r="C495" s="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7"/>
      <c r="B496" s="1"/>
      <c r="C496" s="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7"/>
      <c r="B497" s="1"/>
      <c r="C497" s="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7"/>
      <c r="B498" s="1"/>
      <c r="C498" s="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7"/>
      <c r="B499" s="1"/>
      <c r="C499" s="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7"/>
      <c r="B500" s="1"/>
      <c r="C500" s="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7"/>
      <c r="B501" s="1"/>
      <c r="C501" s="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7"/>
      <c r="B502" s="1"/>
      <c r="C502" s="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7"/>
      <c r="B503" s="1"/>
      <c r="C503" s="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7"/>
      <c r="B504" s="1"/>
      <c r="C504" s="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7"/>
      <c r="B505" s="1"/>
      <c r="C505" s="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7"/>
      <c r="B506" s="1"/>
      <c r="C506" s="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7"/>
      <c r="B507" s="1"/>
      <c r="C507" s="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7"/>
      <c r="B508" s="1"/>
      <c r="C508" s="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7"/>
      <c r="B509" s="1"/>
      <c r="C509" s="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7"/>
      <c r="B510" s="1"/>
      <c r="C510" s="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7"/>
      <c r="B511" s="1"/>
      <c r="C511" s="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7"/>
      <c r="B512" s="1"/>
      <c r="C512" s="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7"/>
      <c r="B513" s="1"/>
      <c r="C513" s="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7"/>
      <c r="B514" s="1"/>
      <c r="C514" s="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7"/>
      <c r="B515" s="1"/>
      <c r="C515" s="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7"/>
      <c r="B516" s="1"/>
      <c r="C516" s="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7"/>
      <c r="B517" s="1"/>
      <c r="C517" s="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7"/>
      <c r="B518" s="1"/>
      <c r="C518" s="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7"/>
      <c r="B519" s="1"/>
      <c r="C519" s="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7"/>
      <c r="B520" s="1"/>
      <c r="C520" s="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7"/>
      <c r="B521" s="1"/>
      <c r="C521" s="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7"/>
      <c r="B522" s="1"/>
      <c r="C522" s="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7"/>
      <c r="B523" s="1"/>
      <c r="C523" s="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7"/>
      <c r="B524" s="1"/>
      <c r="C524" s="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7"/>
      <c r="B525" s="1"/>
      <c r="C525" s="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7"/>
      <c r="B526" s="1"/>
      <c r="C526" s="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7"/>
      <c r="B527" s="1"/>
      <c r="C527" s="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7"/>
      <c r="B528" s="1"/>
      <c r="C528" s="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7"/>
      <c r="B529" s="1"/>
      <c r="C529" s="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7"/>
      <c r="B530" s="1"/>
      <c r="C530" s="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7"/>
      <c r="B531" s="1"/>
      <c r="C531" s="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7"/>
      <c r="B532" s="1"/>
      <c r="C532" s="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7"/>
      <c r="B533" s="1"/>
      <c r="C533" s="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7"/>
      <c r="B534" s="1"/>
      <c r="C534" s="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7"/>
      <c r="B535" s="1"/>
      <c r="C535" s="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7"/>
      <c r="B536" s="1"/>
      <c r="C536" s="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7"/>
      <c r="B537" s="1"/>
      <c r="C537" s="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7"/>
      <c r="B538" s="1"/>
      <c r="C538" s="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7"/>
      <c r="B539" s="1"/>
      <c r="C539" s="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7"/>
      <c r="B540" s="1"/>
      <c r="C540" s="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7"/>
      <c r="B541" s="1"/>
      <c r="C541" s="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7"/>
      <c r="B542" s="1"/>
      <c r="C542" s="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7"/>
      <c r="B543" s="1"/>
      <c r="C543" s="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7"/>
      <c r="B544" s="1"/>
      <c r="C544" s="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7"/>
      <c r="B545" s="1"/>
      <c r="C545" s="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7"/>
      <c r="B546" s="1"/>
      <c r="C546" s="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7"/>
      <c r="B547" s="1"/>
      <c r="C547" s="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7"/>
      <c r="B548" s="1"/>
      <c r="C548" s="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7"/>
      <c r="B549" s="1"/>
      <c r="C549" s="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7"/>
      <c r="B550" s="1"/>
      <c r="C550" s="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7"/>
      <c r="B551" s="1"/>
      <c r="C551" s="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7"/>
      <c r="B552" s="1"/>
      <c r="C552" s="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7"/>
      <c r="B553" s="1"/>
      <c r="C553" s="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7"/>
      <c r="B554" s="1"/>
      <c r="C554" s="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7"/>
      <c r="B555" s="1"/>
      <c r="C555" s="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7"/>
      <c r="B556" s="1"/>
      <c r="C556" s="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7"/>
      <c r="B557" s="1"/>
      <c r="C557" s="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7"/>
      <c r="B558" s="1"/>
      <c r="C558" s="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7"/>
      <c r="B559" s="1"/>
      <c r="C559" s="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7"/>
      <c r="B560" s="1"/>
      <c r="C560" s="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7"/>
      <c r="B561" s="1"/>
      <c r="C561" s="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7"/>
      <c r="B562" s="1"/>
      <c r="C562" s="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7"/>
      <c r="B563" s="1"/>
      <c r="C563" s="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7"/>
      <c r="B564" s="1"/>
      <c r="C564" s="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7"/>
      <c r="B565" s="1"/>
      <c r="C565" s="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7"/>
      <c r="B566" s="1"/>
      <c r="C566" s="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7"/>
      <c r="B567" s="1"/>
      <c r="C567" s="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7"/>
      <c r="B568" s="1"/>
      <c r="C568" s="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7"/>
      <c r="B569" s="1"/>
      <c r="C569" s="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7"/>
      <c r="B570" s="1"/>
      <c r="C570" s="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7"/>
      <c r="B571" s="1"/>
      <c r="C571" s="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7"/>
      <c r="B572" s="1"/>
      <c r="C572" s="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7"/>
      <c r="B573" s="1"/>
      <c r="C573" s="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7"/>
      <c r="B574" s="1"/>
      <c r="C574" s="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7"/>
      <c r="B575" s="1"/>
      <c r="C575" s="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7"/>
      <c r="B576" s="1"/>
      <c r="C576" s="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7"/>
      <c r="B577" s="1"/>
      <c r="C577" s="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7"/>
      <c r="B578" s="1"/>
      <c r="C578" s="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7"/>
      <c r="B579" s="1"/>
      <c r="C579" s="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7"/>
      <c r="B580" s="1"/>
      <c r="C580" s="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7"/>
      <c r="B581" s="1"/>
      <c r="C581" s="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7"/>
      <c r="B582" s="1"/>
      <c r="C582" s="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7"/>
      <c r="B583" s="1"/>
      <c r="C583" s="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7"/>
      <c r="B584" s="1"/>
      <c r="C584" s="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7"/>
      <c r="B585" s="1"/>
      <c r="C585" s="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7"/>
      <c r="B586" s="1"/>
      <c r="C586" s="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7"/>
      <c r="B587" s="1"/>
      <c r="C587" s="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7"/>
      <c r="B588" s="1"/>
      <c r="C588" s="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7"/>
      <c r="B589" s="1"/>
      <c r="C589" s="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7"/>
      <c r="B590" s="1"/>
      <c r="C590" s="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7"/>
      <c r="B591" s="1"/>
      <c r="C591" s="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7"/>
      <c r="B592" s="1"/>
      <c r="C592" s="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7"/>
      <c r="B593" s="1"/>
      <c r="C593" s="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7"/>
      <c r="B594" s="1"/>
      <c r="C594" s="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7"/>
      <c r="B595" s="1"/>
      <c r="C595" s="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7"/>
      <c r="B596" s="1"/>
      <c r="C596" s="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7"/>
      <c r="B597" s="1"/>
      <c r="C597" s="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7"/>
      <c r="B598" s="1"/>
      <c r="C598" s="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7"/>
      <c r="B599" s="1"/>
      <c r="C599" s="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7"/>
      <c r="B600" s="1"/>
      <c r="C600" s="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7"/>
      <c r="B601" s="1"/>
      <c r="C601" s="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7"/>
      <c r="B602" s="1"/>
      <c r="C602" s="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7"/>
      <c r="B603" s="1"/>
      <c r="C603" s="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7"/>
      <c r="B604" s="1"/>
      <c r="C604" s="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7"/>
      <c r="B605" s="1"/>
      <c r="C605" s="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7"/>
      <c r="B606" s="1"/>
      <c r="C606" s="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7"/>
      <c r="B607" s="1"/>
      <c r="C607" s="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7"/>
      <c r="B608" s="1"/>
      <c r="C608" s="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7"/>
      <c r="B609" s="1"/>
      <c r="C609" s="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7"/>
      <c r="B610" s="1"/>
      <c r="C610" s="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7"/>
      <c r="B611" s="1"/>
      <c r="C611" s="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7"/>
      <c r="B612" s="1"/>
      <c r="C612" s="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7"/>
      <c r="B613" s="1"/>
      <c r="C613" s="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7"/>
      <c r="B614" s="1"/>
      <c r="C614" s="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7"/>
      <c r="B615" s="1"/>
      <c r="C615" s="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7"/>
      <c r="B616" s="1"/>
      <c r="C616" s="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7"/>
      <c r="B617" s="1"/>
      <c r="C617" s="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7"/>
      <c r="B618" s="1"/>
      <c r="C618" s="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7"/>
      <c r="B619" s="1"/>
      <c r="C619" s="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7"/>
      <c r="B620" s="1"/>
      <c r="C620" s="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7"/>
      <c r="B621" s="1"/>
      <c r="C621" s="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7"/>
      <c r="B622" s="1"/>
      <c r="C622" s="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7"/>
      <c r="B623" s="1"/>
      <c r="C623" s="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7"/>
      <c r="B624" s="1"/>
      <c r="C624" s="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7"/>
      <c r="B625" s="1"/>
      <c r="C625" s="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7"/>
      <c r="B626" s="1"/>
      <c r="C626" s="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7"/>
      <c r="B627" s="1"/>
      <c r="C627" s="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7"/>
      <c r="B628" s="1"/>
      <c r="C628" s="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7"/>
      <c r="B629" s="1"/>
      <c r="C629" s="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7"/>
      <c r="B630" s="1"/>
      <c r="C630" s="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7"/>
      <c r="B631" s="1"/>
      <c r="C631" s="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7"/>
      <c r="B632" s="1"/>
      <c r="C632" s="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7"/>
      <c r="B633" s="1"/>
      <c r="C633" s="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7"/>
      <c r="B634" s="1"/>
      <c r="C634" s="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7"/>
      <c r="B635" s="1"/>
      <c r="C635" s="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7"/>
      <c r="B636" s="1"/>
      <c r="C636" s="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7"/>
      <c r="B637" s="1"/>
      <c r="C637" s="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7"/>
      <c r="B638" s="1"/>
      <c r="C638" s="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7"/>
      <c r="B639" s="1"/>
      <c r="C639" s="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7"/>
      <c r="B640" s="1"/>
      <c r="C640" s="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7"/>
      <c r="B641" s="1"/>
      <c r="C641" s="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7"/>
      <c r="B642" s="1"/>
      <c r="C642" s="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7"/>
      <c r="B643" s="1"/>
      <c r="C643" s="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7"/>
      <c r="B644" s="1"/>
      <c r="C644" s="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7"/>
      <c r="B645" s="1"/>
      <c r="C645" s="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7"/>
      <c r="B646" s="1"/>
      <c r="C646" s="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7"/>
      <c r="B647" s="1"/>
      <c r="C647" s="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7"/>
      <c r="B648" s="1"/>
      <c r="C648" s="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7"/>
      <c r="B649" s="1"/>
      <c r="C649" s="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7"/>
      <c r="B650" s="1"/>
      <c r="C650" s="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7"/>
      <c r="B651" s="1"/>
      <c r="C651" s="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7"/>
      <c r="B652" s="1"/>
      <c r="C652" s="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7"/>
      <c r="B653" s="1"/>
      <c r="C653" s="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7"/>
      <c r="B654" s="1"/>
      <c r="C654" s="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7"/>
      <c r="B655" s="1"/>
      <c r="C655" s="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7"/>
      <c r="B656" s="1"/>
      <c r="C656" s="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7"/>
      <c r="B657" s="1"/>
      <c r="C657" s="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7"/>
      <c r="B658" s="1"/>
      <c r="C658" s="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7"/>
      <c r="B659" s="1"/>
      <c r="C659" s="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7"/>
      <c r="B660" s="1"/>
      <c r="C660" s="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7"/>
      <c r="B661" s="1"/>
      <c r="C661" s="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7"/>
      <c r="B662" s="1"/>
      <c r="C662" s="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7"/>
      <c r="B663" s="1"/>
      <c r="C663" s="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7"/>
      <c r="B664" s="1"/>
      <c r="C664" s="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7"/>
      <c r="B665" s="1"/>
      <c r="C665" s="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7"/>
      <c r="B666" s="1"/>
      <c r="C666" s="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7"/>
      <c r="B667" s="1"/>
      <c r="C667" s="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7"/>
      <c r="B668" s="1"/>
      <c r="C668" s="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7"/>
      <c r="B669" s="1"/>
      <c r="C669" s="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7"/>
      <c r="B670" s="1"/>
      <c r="C670" s="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7"/>
      <c r="B671" s="1"/>
      <c r="C671" s="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7"/>
      <c r="B672" s="1"/>
      <c r="C672" s="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7"/>
      <c r="B673" s="1"/>
      <c r="C673" s="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7"/>
      <c r="B674" s="1"/>
      <c r="C674" s="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7"/>
      <c r="B675" s="1"/>
      <c r="C675" s="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7"/>
      <c r="B676" s="1"/>
      <c r="C676" s="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7"/>
      <c r="B677" s="1"/>
      <c r="C677" s="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7"/>
      <c r="B678" s="1"/>
      <c r="C678" s="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7"/>
      <c r="B679" s="1"/>
      <c r="C679" s="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7"/>
      <c r="B680" s="1"/>
      <c r="C680" s="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7"/>
      <c r="B681" s="1"/>
      <c r="C681" s="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7"/>
      <c r="B682" s="1"/>
      <c r="C682" s="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7"/>
      <c r="B683" s="1"/>
      <c r="C683" s="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7"/>
      <c r="B684" s="1"/>
      <c r="C684" s="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7"/>
      <c r="B685" s="1"/>
      <c r="C685" s="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7"/>
      <c r="B686" s="1"/>
      <c r="C686" s="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7"/>
      <c r="B687" s="1"/>
      <c r="C687" s="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7"/>
      <c r="B688" s="1"/>
      <c r="C688" s="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7"/>
      <c r="B689" s="1"/>
      <c r="C689" s="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7"/>
      <c r="B690" s="1"/>
      <c r="C690" s="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7"/>
      <c r="B691" s="1"/>
      <c r="C691" s="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7"/>
      <c r="B692" s="1"/>
      <c r="C692" s="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7"/>
      <c r="B693" s="1"/>
      <c r="C693" s="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7"/>
      <c r="B694" s="1"/>
      <c r="C694" s="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7"/>
      <c r="B695" s="1"/>
      <c r="C695" s="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7"/>
      <c r="B696" s="1"/>
      <c r="C696" s="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7"/>
      <c r="B697" s="1"/>
      <c r="C697" s="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7"/>
      <c r="B698" s="1"/>
      <c r="C698" s="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7"/>
      <c r="B699" s="1"/>
      <c r="C699" s="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7"/>
      <c r="B700" s="1"/>
      <c r="C700" s="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7"/>
      <c r="B701" s="1"/>
      <c r="C701" s="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7"/>
      <c r="B702" s="1"/>
      <c r="C702" s="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7"/>
      <c r="B703" s="1"/>
      <c r="C703" s="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7"/>
      <c r="B704" s="1"/>
      <c r="C704" s="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7"/>
      <c r="B705" s="1"/>
      <c r="C705" s="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7"/>
      <c r="B706" s="1"/>
      <c r="C706" s="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7"/>
      <c r="B707" s="1"/>
      <c r="C707" s="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7"/>
      <c r="B708" s="1"/>
      <c r="C708" s="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7"/>
      <c r="B709" s="1"/>
      <c r="C709" s="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7"/>
      <c r="B710" s="1"/>
      <c r="C710" s="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7"/>
      <c r="B711" s="1"/>
      <c r="C711" s="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7"/>
      <c r="B712" s="1"/>
      <c r="C712" s="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7"/>
      <c r="B713" s="1"/>
      <c r="C713" s="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7"/>
      <c r="B714" s="1"/>
      <c r="C714" s="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7"/>
      <c r="B715" s="1"/>
      <c r="C715" s="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7"/>
      <c r="B716" s="1"/>
      <c r="C716" s="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7"/>
      <c r="B717" s="1"/>
      <c r="C717" s="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7"/>
      <c r="B718" s="1"/>
      <c r="C718" s="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7"/>
      <c r="B719" s="1"/>
      <c r="C719" s="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7"/>
      <c r="B720" s="1"/>
      <c r="C720" s="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7"/>
      <c r="B721" s="1"/>
      <c r="C721" s="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7"/>
      <c r="B722" s="1"/>
      <c r="C722" s="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7"/>
      <c r="B723" s="1"/>
      <c r="C723" s="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7"/>
      <c r="B724" s="1"/>
      <c r="C724" s="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7"/>
      <c r="B725" s="1"/>
      <c r="C725" s="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7"/>
      <c r="B726" s="1"/>
      <c r="C726" s="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7"/>
      <c r="B727" s="1"/>
      <c r="C727" s="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7"/>
      <c r="B728" s="1"/>
      <c r="C728" s="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7"/>
      <c r="B729" s="1"/>
      <c r="C729" s="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7"/>
      <c r="B730" s="1"/>
      <c r="C730" s="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7"/>
      <c r="B731" s="1"/>
      <c r="C731" s="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7"/>
      <c r="B732" s="1"/>
      <c r="C732" s="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7"/>
      <c r="B733" s="1"/>
      <c r="C733" s="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7"/>
      <c r="B734" s="1"/>
      <c r="C734" s="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7"/>
      <c r="B735" s="1"/>
      <c r="C735" s="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7"/>
      <c r="B736" s="1"/>
      <c r="C736" s="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7"/>
      <c r="B737" s="1"/>
      <c r="C737" s="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7"/>
      <c r="B738" s="1"/>
      <c r="C738" s="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7"/>
      <c r="B739" s="1"/>
      <c r="C739" s="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7"/>
      <c r="B740" s="1"/>
      <c r="C740" s="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7"/>
      <c r="B741" s="1"/>
      <c r="C741" s="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7"/>
      <c r="B742" s="1"/>
      <c r="C742" s="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7"/>
      <c r="B743" s="1"/>
      <c r="C743" s="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7"/>
      <c r="B744" s="1"/>
      <c r="C744" s="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7"/>
      <c r="B745" s="1"/>
      <c r="C745" s="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7"/>
      <c r="B746" s="1"/>
      <c r="C746" s="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7"/>
      <c r="B747" s="1"/>
      <c r="C747" s="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7"/>
      <c r="B748" s="1"/>
      <c r="C748" s="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7"/>
      <c r="B749" s="1"/>
      <c r="C749" s="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7"/>
      <c r="B750" s="1"/>
      <c r="C750" s="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7"/>
      <c r="B751" s="1"/>
      <c r="C751" s="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7"/>
      <c r="B752" s="1"/>
      <c r="C752" s="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7"/>
      <c r="B753" s="1"/>
      <c r="C753" s="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7"/>
      <c r="B754" s="1"/>
      <c r="C754" s="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7"/>
      <c r="B755" s="1"/>
      <c r="C755" s="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7"/>
      <c r="B756" s="1"/>
      <c r="C756" s="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7"/>
      <c r="B757" s="1"/>
      <c r="C757" s="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7"/>
      <c r="B758" s="1"/>
      <c r="C758" s="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7"/>
      <c r="B759" s="1"/>
      <c r="C759" s="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7"/>
      <c r="B760" s="1"/>
      <c r="C760" s="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7"/>
      <c r="B761" s="1"/>
      <c r="C761" s="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7"/>
      <c r="B762" s="1"/>
      <c r="C762" s="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7"/>
      <c r="B763" s="1"/>
      <c r="C763" s="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7"/>
      <c r="B764" s="1"/>
      <c r="C764" s="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7"/>
      <c r="B765" s="1"/>
      <c r="C765" s="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7"/>
      <c r="B766" s="1"/>
      <c r="C766" s="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7"/>
      <c r="B767" s="1"/>
      <c r="C767" s="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7"/>
      <c r="B768" s="1"/>
      <c r="C768" s="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7"/>
      <c r="B769" s="1"/>
      <c r="C769" s="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7"/>
      <c r="B770" s="1"/>
      <c r="C770" s="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7"/>
      <c r="B771" s="1"/>
      <c r="C771" s="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7"/>
      <c r="B772" s="1"/>
      <c r="C772" s="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7"/>
      <c r="B773" s="1"/>
      <c r="C773" s="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7"/>
      <c r="B774" s="1"/>
      <c r="C774" s="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7"/>
      <c r="B775" s="1"/>
      <c r="C775" s="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7"/>
      <c r="B776" s="1"/>
      <c r="C776" s="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7"/>
      <c r="B777" s="1"/>
      <c r="C777" s="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7"/>
      <c r="B778" s="1"/>
      <c r="C778" s="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7"/>
      <c r="B779" s="1"/>
      <c r="C779" s="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7"/>
      <c r="B780" s="1"/>
      <c r="C780" s="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7"/>
      <c r="B781" s="1"/>
      <c r="C781" s="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7"/>
      <c r="B782" s="1"/>
      <c r="C782" s="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7"/>
      <c r="B783" s="1"/>
      <c r="C783" s="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7"/>
      <c r="B784" s="1"/>
      <c r="C784" s="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7"/>
      <c r="B785" s="1"/>
      <c r="C785" s="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7"/>
      <c r="B786" s="1"/>
      <c r="C786" s="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7"/>
      <c r="B787" s="1"/>
      <c r="C787" s="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7"/>
      <c r="B788" s="1"/>
      <c r="C788" s="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7"/>
      <c r="B789" s="1"/>
      <c r="C789" s="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7"/>
      <c r="B790" s="1"/>
      <c r="C790" s="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7"/>
      <c r="B791" s="1"/>
      <c r="C791" s="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7"/>
      <c r="B792" s="1"/>
      <c r="C792" s="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7"/>
      <c r="B793" s="1"/>
      <c r="C793" s="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7"/>
      <c r="B794" s="1"/>
      <c r="C794" s="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7"/>
      <c r="B795" s="1"/>
      <c r="C795" s="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7"/>
      <c r="B796" s="1"/>
      <c r="C796" s="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7"/>
      <c r="B797" s="1"/>
      <c r="C797" s="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7"/>
      <c r="B798" s="1"/>
      <c r="C798" s="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7"/>
      <c r="B799" s="1"/>
      <c r="C799" s="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7"/>
      <c r="B800" s="1"/>
      <c r="C800" s="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7"/>
      <c r="B801" s="1"/>
      <c r="C801" s="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7"/>
      <c r="B802" s="1"/>
      <c r="C802" s="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7"/>
      <c r="B803" s="1"/>
      <c r="C803" s="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7"/>
      <c r="B804" s="1"/>
      <c r="C804" s="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7"/>
      <c r="B805" s="1"/>
      <c r="C805" s="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7"/>
      <c r="B806" s="1"/>
      <c r="C806" s="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7"/>
      <c r="B807" s="1"/>
      <c r="C807" s="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7"/>
      <c r="B808" s="1"/>
      <c r="C808" s="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7"/>
      <c r="B809" s="1"/>
      <c r="C809" s="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7"/>
      <c r="B810" s="1"/>
      <c r="C810" s="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7"/>
      <c r="B811" s="1"/>
      <c r="C811" s="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7"/>
      <c r="B812" s="1"/>
      <c r="C812" s="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7"/>
      <c r="B813" s="1"/>
      <c r="C813" s="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7"/>
      <c r="B814" s="1"/>
      <c r="C814" s="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7"/>
      <c r="B815" s="1"/>
      <c r="C815" s="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7"/>
      <c r="B816" s="1"/>
      <c r="C816" s="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7"/>
      <c r="B817" s="1"/>
      <c r="C817" s="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7"/>
      <c r="B818" s="1"/>
      <c r="C818" s="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7"/>
      <c r="B819" s="1"/>
      <c r="C819" s="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7"/>
      <c r="B820" s="1"/>
      <c r="C820" s="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7"/>
      <c r="B821" s="1"/>
      <c r="C821" s="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7"/>
      <c r="B822" s="1"/>
      <c r="C822" s="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7"/>
      <c r="B823" s="1"/>
      <c r="C823" s="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7"/>
      <c r="B824" s="1"/>
      <c r="C824" s="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7"/>
      <c r="B825" s="1"/>
      <c r="C825" s="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7"/>
      <c r="B826" s="1"/>
      <c r="C826" s="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7"/>
      <c r="B827" s="1"/>
      <c r="C827" s="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7"/>
      <c r="B828" s="1"/>
      <c r="C828" s="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7"/>
      <c r="B829" s="1"/>
      <c r="C829" s="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7"/>
      <c r="B830" s="1"/>
      <c r="C830" s="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7"/>
      <c r="B831" s="1"/>
      <c r="C831" s="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7"/>
      <c r="B832" s="1"/>
      <c r="C832" s="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7"/>
      <c r="B833" s="1"/>
      <c r="C833" s="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7"/>
      <c r="B834" s="1"/>
      <c r="C834" s="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7"/>
      <c r="B835" s="1"/>
      <c r="C835" s="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7"/>
      <c r="B836" s="1"/>
      <c r="C836" s="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7"/>
      <c r="B837" s="1"/>
      <c r="C837" s="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7"/>
      <c r="B838" s="1"/>
      <c r="C838" s="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7"/>
      <c r="B839" s="1"/>
      <c r="C839" s="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7"/>
      <c r="B840" s="1"/>
      <c r="C840" s="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7"/>
      <c r="B841" s="1"/>
      <c r="C841" s="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7"/>
      <c r="B842" s="1"/>
      <c r="C842" s="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7"/>
      <c r="B843" s="1"/>
      <c r="C843" s="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7"/>
      <c r="B844" s="1"/>
      <c r="C844" s="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7"/>
      <c r="B845" s="1"/>
      <c r="C845" s="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7"/>
      <c r="B846" s="1"/>
      <c r="C846" s="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7"/>
      <c r="B847" s="1"/>
      <c r="C847" s="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7"/>
      <c r="B848" s="1"/>
      <c r="C848" s="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7"/>
      <c r="B849" s="1"/>
      <c r="C849" s="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7"/>
      <c r="B850" s="1"/>
      <c r="C850" s="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7"/>
      <c r="B851" s="1"/>
      <c r="C851" s="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7"/>
      <c r="B852" s="1"/>
      <c r="C852" s="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7"/>
      <c r="B853" s="1"/>
      <c r="C853" s="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7"/>
      <c r="B854" s="1"/>
      <c r="C854" s="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7"/>
      <c r="B855" s="1"/>
      <c r="C855" s="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7"/>
      <c r="B856" s="1"/>
      <c r="C856" s="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7"/>
      <c r="B857" s="1"/>
      <c r="C857" s="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7"/>
      <c r="B858" s="1"/>
      <c r="C858" s="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7"/>
      <c r="B859" s="1"/>
      <c r="C859" s="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7"/>
      <c r="B860" s="1"/>
      <c r="C860" s="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7"/>
      <c r="B861" s="1"/>
      <c r="C861" s="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7"/>
      <c r="B862" s="1"/>
      <c r="C862" s="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7"/>
      <c r="B863" s="1"/>
      <c r="C863" s="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7"/>
      <c r="B864" s="1"/>
      <c r="C864" s="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7"/>
      <c r="B865" s="1"/>
      <c r="C865" s="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7"/>
      <c r="B866" s="1"/>
      <c r="C866" s="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7"/>
      <c r="B867" s="1"/>
      <c r="C867" s="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7"/>
      <c r="B868" s="1"/>
      <c r="C868" s="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7"/>
      <c r="B869" s="1"/>
      <c r="C869" s="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7"/>
      <c r="B870" s="1"/>
      <c r="C870" s="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7"/>
      <c r="B871" s="1"/>
      <c r="C871" s="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7"/>
      <c r="B872" s="1"/>
      <c r="C872" s="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7"/>
      <c r="B873" s="1"/>
      <c r="C873" s="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7"/>
      <c r="B874" s="1"/>
      <c r="C874" s="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7"/>
      <c r="B875" s="1"/>
      <c r="C875" s="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7"/>
      <c r="B876" s="1"/>
      <c r="C876" s="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7"/>
      <c r="B877" s="1"/>
      <c r="C877" s="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7"/>
      <c r="B878" s="1"/>
      <c r="C878" s="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7"/>
      <c r="B879" s="1"/>
      <c r="C879" s="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7"/>
      <c r="B880" s="1"/>
      <c r="C880" s="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7"/>
      <c r="B881" s="1"/>
      <c r="C881" s="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7"/>
      <c r="B882" s="1"/>
      <c r="C882" s="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7"/>
      <c r="B883" s="1"/>
      <c r="C883" s="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7"/>
      <c r="B884" s="1"/>
      <c r="C884" s="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7"/>
      <c r="B885" s="1"/>
      <c r="C885" s="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7"/>
      <c r="B886" s="1"/>
      <c r="C886" s="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7"/>
      <c r="B887" s="1"/>
      <c r="C887" s="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7"/>
      <c r="B888" s="1"/>
      <c r="C888" s="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7"/>
      <c r="B889" s="1"/>
      <c r="C889" s="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7"/>
      <c r="B890" s="1"/>
      <c r="C890" s="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7"/>
      <c r="B891" s="1"/>
      <c r="C891" s="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7"/>
      <c r="B892" s="1"/>
      <c r="C892" s="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7"/>
      <c r="B893" s="1"/>
      <c r="C893" s="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7"/>
      <c r="B894" s="1"/>
      <c r="C894" s="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7"/>
      <c r="B895" s="1"/>
      <c r="C895" s="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7"/>
      <c r="B896" s="1"/>
      <c r="C896" s="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7"/>
      <c r="B897" s="1"/>
      <c r="C897" s="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7"/>
      <c r="B898" s="1"/>
      <c r="C898" s="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7"/>
      <c r="B899" s="1"/>
      <c r="C899" s="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7"/>
      <c r="B900" s="1"/>
      <c r="C900" s="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7"/>
      <c r="B901" s="1"/>
      <c r="C901" s="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7"/>
      <c r="B902" s="1"/>
      <c r="C902" s="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7"/>
      <c r="B903" s="1"/>
      <c r="C903" s="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7"/>
      <c r="B904" s="1"/>
      <c r="C904" s="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7"/>
      <c r="B905" s="1"/>
      <c r="C905" s="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7"/>
      <c r="B906" s="1"/>
      <c r="C906" s="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7"/>
      <c r="B907" s="1"/>
      <c r="C907" s="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7"/>
      <c r="B908" s="1"/>
      <c r="C908" s="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7"/>
      <c r="B909" s="1"/>
      <c r="C909" s="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7"/>
      <c r="B910" s="1"/>
      <c r="C910" s="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7"/>
      <c r="B911" s="1"/>
      <c r="C911" s="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7"/>
      <c r="B912" s="1"/>
      <c r="C912" s="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7"/>
      <c r="B913" s="1"/>
      <c r="C913" s="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7"/>
      <c r="B914" s="1"/>
      <c r="C914" s="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7"/>
      <c r="B915" s="1"/>
      <c r="C915" s="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7"/>
      <c r="B916" s="1"/>
      <c r="C916" s="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7"/>
      <c r="B917" s="1"/>
      <c r="C917" s="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7"/>
      <c r="B918" s="1"/>
      <c r="C918" s="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7"/>
      <c r="B919" s="1"/>
      <c r="C919" s="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7"/>
      <c r="B920" s="1"/>
      <c r="C920" s="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7"/>
      <c r="B921" s="1"/>
      <c r="C921" s="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7"/>
      <c r="B922" s="1"/>
      <c r="C922" s="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7"/>
      <c r="B923" s="1"/>
      <c r="C923" s="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7"/>
      <c r="B924" s="1"/>
      <c r="C924" s="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7"/>
      <c r="B925" s="1"/>
      <c r="C925" s="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7"/>
      <c r="B926" s="1"/>
      <c r="C926" s="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7"/>
      <c r="B927" s="1"/>
      <c r="C927" s="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7"/>
      <c r="B928" s="1"/>
      <c r="C928" s="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7"/>
      <c r="B929" s="1"/>
      <c r="C929" s="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7"/>
      <c r="B930" s="1"/>
      <c r="C930" s="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7"/>
      <c r="B931" s="1"/>
      <c r="C931" s="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7"/>
      <c r="B932" s="1"/>
      <c r="C932" s="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7"/>
      <c r="B933" s="1"/>
      <c r="C933" s="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7"/>
      <c r="B934" s="1"/>
      <c r="C934" s="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7"/>
      <c r="B935" s="1"/>
      <c r="C935" s="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7"/>
      <c r="B936" s="1"/>
      <c r="C936" s="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7"/>
      <c r="B937" s="1"/>
      <c r="C937" s="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7"/>
      <c r="B938" s="1"/>
      <c r="C938" s="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7"/>
      <c r="B939" s="1"/>
      <c r="C939" s="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7"/>
      <c r="B940" s="1"/>
      <c r="C940" s="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7"/>
      <c r="B941" s="1"/>
      <c r="C941" s="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7"/>
      <c r="B942" s="1"/>
      <c r="C942" s="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7"/>
      <c r="B943" s="1"/>
      <c r="C943" s="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7"/>
      <c r="B944" s="1"/>
      <c r="C944" s="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7"/>
      <c r="B945" s="1"/>
      <c r="C945" s="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7"/>
      <c r="B946" s="1"/>
      <c r="C946" s="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7"/>
      <c r="B947" s="1"/>
      <c r="C947" s="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7"/>
      <c r="B948" s="1"/>
      <c r="C948" s="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7"/>
      <c r="B949" s="1"/>
      <c r="C949" s="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7"/>
      <c r="B950" s="1"/>
      <c r="C950" s="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7"/>
      <c r="B951" s="1"/>
      <c r="C951" s="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7"/>
      <c r="B952" s="1"/>
      <c r="C952" s="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7"/>
      <c r="B953" s="1"/>
      <c r="C953" s="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7"/>
      <c r="B954" s="1"/>
      <c r="C954" s="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7"/>
      <c r="B955" s="1"/>
      <c r="C955" s="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7"/>
      <c r="B956" s="1"/>
      <c r="C956" s="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7"/>
      <c r="B957" s="1"/>
      <c r="C957" s="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7"/>
      <c r="B958" s="1"/>
      <c r="C958" s="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7"/>
      <c r="B959" s="1"/>
      <c r="C959" s="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7"/>
      <c r="B960" s="1"/>
      <c r="C960" s="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7"/>
      <c r="B961" s="1"/>
      <c r="C961" s="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7"/>
      <c r="B962" s="1"/>
      <c r="C962" s="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7"/>
      <c r="B963" s="1"/>
      <c r="C963" s="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7"/>
      <c r="B964" s="1"/>
      <c r="C964" s="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7"/>
      <c r="B965" s="1"/>
      <c r="C965" s="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7"/>
      <c r="B966" s="1"/>
      <c r="C966" s="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7"/>
      <c r="B967" s="1"/>
      <c r="C967" s="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7"/>
      <c r="B968" s="1"/>
      <c r="C968" s="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7"/>
      <c r="B969" s="1"/>
      <c r="C969" s="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7"/>
      <c r="B970" s="1"/>
      <c r="C970" s="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7"/>
      <c r="B971" s="1"/>
      <c r="C971" s="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7"/>
      <c r="B972" s="1"/>
      <c r="C972" s="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7"/>
      <c r="B973" s="1"/>
      <c r="C973" s="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7"/>
      <c r="B974" s="1"/>
      <c r="C974" s="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7"/>
      <c r="B975" s="1"/>
      <c r="C975" s="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7"/>
      <c r="B976" s="1"/>
      <c r="C976" s="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7"/>
      <c r="B977" s="1"/>
      <c r="C977" s="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7"/>
      <c r="B978" s="1"/>
      <c r="C978" s="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7"/>
      <c r="B979" s="1"/>
      <c r="C979" s="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7"/>
      <c r="B980" s="1"/>
      <c r="C980" s="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7"/>
      <c r="B981" s="1"/>
      <c r="C981" s="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7"/>
      <c r="B982" s="1"/>
      <c r="C982" s="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7"/>
      <c r="B983" s="1"/>
      <c r="C983" s="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7"/>
      <c r="B984" s="1"/>
      <c r="C984" s="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7"/>
      <c r="B985" s="1"/>
      <c r="C985" s="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7"/>
      <c r="B986" s="1"/>
      <c r="C986" s="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7"/>
      <c r="B987" s="1"/>
      <c r="C987" s="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7"/>
      <c r="B988" s="1"/>
      <c r="C988" s="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7"/>
      <c r="B989" s="1"/>
      <c r="C989" s="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7"/>
      <c r="B990" s="1"/>
      <c r="C990" s="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7"/>
      <c r="B991" s="1"/>
      <c r="C991" s="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7"/>
      <c r="B992" s="1"/>
      <c r="C992" s="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7"/>
      <c r="B993" s="1"/>
      <c r="C993" s="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7"/>
      <c r="B994" s="1"/>
      <c r="C994" s="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7"/>
      <c r="B995" s="1"/>
      <c r="C995" s="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7"/>
      <c r="B996" s="1"/>
      <c r="C996" s="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7"/>
      <c r="B997" s="1"/>
      <c r="C997" s="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7"/>
      <c r="B998" s="1"/>
      <c r="C998" s="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7"/>
      <c r="B999" s="1"/>
      <c r="C999" s="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7"/>
      <c r="B1000" s="1"/>
      <c r="C1000" s="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0" customHeight="1">
      <c r="A1001" s="7"/>
      <c r="B1001" s="1"/>
      <c r="C1001" s="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0" customHeight="1">
      <c r="A1002" s="7"/>
      <c r="B1002" s="1"/>
      <c r="C1002" s="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0" customHeight="1">
      <c r="A1003" s="7"/>
      <c r="B1003" s="1"/>
      <c r="C1003" s="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0" customHeight="1">
      <c r="A1004" s="7"/>
      <c r="B1004" s="1"/>
      <c r="C1004" s="8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0" customHeight="1">
      <c r="A1005" s="7"/>
      <c r="B1005" s="1"/>
      <c r="C1005" s="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0" customHeight="1">
      <c r="A1006" s="7"/>
      <c r="B1006" s="1"/>
      <c r="C1006" s="8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0" customHeight="1">
      <c r="A1007" s="7"/>
      <c r="B1007" s="1"/>
      <c r="C1007" s="8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0" customHeight="1">
      <c r="A1008" s="7"/>
      <c r="B1008" s="1"/>
      <c r="C1008" s="8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0" customHeight="1">
      <c r="A1009" s="7"/>
      <c r="B1009" s="1"/>
      <c r="C1009" s="8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0" customHeight="1">
      <c r="A1010" s="7"/>
      <c r="B1010" s="1"/>
      <c r="C1010" s="8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2.0" customHeight="1">
      <c r="A1011" s="7"/>
      <c r="B1011" s="1"/>
      <c r="C1011" s="8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2.0" customHeight="1">
      <c r="A1012" s="7"/>
      <c r="B1012" s="1"/>
      <c r="C1012" s="8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0" customHeight="1">
      <c r="A1013" s="7"/>
      <c r="B1013" s="1"/>
      <c r="C1013" s="8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2.0" customHeight="1">
      <c r="A1014" s="7"/>
      <c r="B1014" s="1"/>
      <c r="C1014" s="8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2.0" customHeight="1">
      <c r="A1015" s="7"/>
      <c r="B1015" s="1"/>
      <c r="C1015" s="8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2.0" customHeight="1">
      <c r="A1016" s="7"/>
      <c r="B1016" s="1"/>
      <c r="C1016" s="8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2.0" customHeight="1">
      <c r="A1017" s="7"/>
      <c r="B1017" s="1"/>
      <c r="C1017" s="8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</sheetData>
  <drawing r:id="rId1"/>
</worksheet>
</file>