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ASISTENSI 2023 MANAJEMEN\Bahan Ajar Asistensi MK\"/>
    </mc:Choice>
  </mc:AlternateContent>
  <xr:revisionPtr revIDLastSave="0" documentId="8_{9C8EB25D-BB64-4E81-A153-09FF840F74CB}" xr6:coauthVersionLast="47" xr6:coauthVersionMax="47" xr10:uidLastSave="{00000000-0000-0000-0000-000000000000}"/>
  <bookViews>
    <workbookView xWindow="2472" yWindow="2472" windowWidth="17280" windowHeight="8964" xr2:uid="{37659D08-5F85-42C8-8FC3-94045B231857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D18" i="1"/>
  <c r="K5" i="1" s="1"/>
  <c r="K15" i="1"/>
  <c r="D11" i="1"/>
  <c r="K19" i="1" s="1"/>
  <c r="F9" i="1"/>
  <c r="D9" i="1"/>
  <c r="F7" i="1"/>
  <c r="D7" i="1"/>
  <c r="K14" i="1" s="1"/>
  <c r="K16" i="1" s="1"/>
  <c r="K6" i="1"/>
  <c r="F5" i="1"/>
  <c r="D5" i="1"/>
  <c r="K4" i="1"/>
  <c r="K7" i="1" s="1"/>
  <c r="K21" i="1" l="1"/>
</calcChain>
</file>

<file path=xl/sharedStrings.xml><?xml version="1.0" encoding="utf-8"?>
<sst xmlns="http://schemas.openxmlformats.org/spreadsheetml/2006/main" count="31" uniqueCount="30">
  <si>
    <t>Description</t>
  </si>
  <si>
    <t>FY 2021</t>
  </si>
  <si>
    <t>FY 2020</t>
  </si>
  <si>
    <t>Revenue</t>
  </si>
  <si>
    <t>Depreciation &amp; Amortization Expense</t>
  </si>
  <si>
    <t>OCF</t>
  </si>
  <si>
    <t>Operating Expense other than DA</t>
  </si>
  <si>
    <t>Change in NWC</t>
  </si>
  <si>
    <t>Earning Before Interest and Taxes</t>
  </si>
  <si>
    <t>Net Capital Spending</t>
  </si>
  <si>
    <t>Interest Expense</t>
  </si>
  <si>
    <t>CFFA</t>
  </si>
  <si>
    <t>Earning Before Taxes</t>
  </si>
  <si>
    <t>Taxes</t>
  </si>
  <si>
    <t>Net Income</t>
  </si>
  <si>
    <t>Dividend Paid</t>
  </si>
  <si>
    <t>Current Assets</t>
  </si>
  <si>
    <t>Interest</t>
  </si>
  <si>
    <t>Fixed Assets</t>
  </si>
  <si>
    <t>Net new borrowing</t>
  </si>
  <si>
    <t>Total Assets</t>
  </si>
  <si>
    <t>CF to Creditor</t>
  </si>
  <si>
    <t>Current Liabilities</t>
  </si>
  <si>
    <t>Net Working Capital</t>
  </si>
  <si>
    <t>Long Term Liabilities</t>
  </si>
  <si>
    <t>CF to Shareholders</t>
  </si>
  <si>
    <t>Total Liabilities</t>
  </si>
  <si>
    <t>Shareholders’ Equity</t>
  </si>
  <si>
    <t>CFFA = CF to C + CF to S</t>
  </si>
  <si>
    <t>Outstanding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</si>
</sst>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rgb="FF000000"/>
      <name val="Assistant"/>
      <charset val="177"/>
    </font>
    <font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BC707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readingOrder="1"/>
    </xf>
    <xf numFmtId="0" fontId="2" fillId="3" borderId="2" xfId="0" applyFont="1" applyFill="1" applyBorder="1" applyAlignment="1">
      <alignment vertical="center"/>
    </xf>
    <xf numFmtId="3" fontId="1" fillId="3" borderId="2" xfId="0" applyNumberFormat="1" applyFont="1" applyFill="1" applyBorder="1" applyAlignment="1">
      <alignment horizontal="right" vertical="center" readingOrder="1"/>
    </xf>
    <xf numFmtId="0" fontId="2" fillId="3" borderId="2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left" vertical="center" readingOrder="1"/>
    </xf>
    <xf numFmtId="0" fontId="2" fillId="4" borderId="0" xfId="0" applyFont="1" applyFill="1" applyAlignment="1">
      <alignment vertical="center"/>
    </xf>
    <xf numFmtId="3" fontId="1" fillId="4" borderId="0" xfId="0" applyNumberFormat="1" applyFont="1" applyFill="1" applyAlignment="1">
      <alignment horizontal="right" vertical="center" readingOrder="1"/>
    </xf>
    <xf numFmtId="0" fontId="2" fillId="4" borderId="0" xfId="0" applyFont="1" applyFill="1" applyAlignment="1">
      <alignment horizontal="right" vertical="center"/>
    </xf>
    <xf numFmtId="0" fontId="1" fillId="5" borderId="0" xfId="0" applyFont="1" applyFill="1" applyAlignment="1">
      <alignment horizontal="left" vertical="center" readingOrder="1"/>
    </xf>
    <xf numFmtId="3" fontId="1" fillId="3" borderId="0" xfId="0" applyNumberFormat="1" applyFont="1" applyFill="1" applyAlignment="1">
      <alignment horizontal="right" vertical="center" readingOrder="1"/>
    </xf>
    <xf numFmtId="0" fontId="2" fillId="5" borderId="0" xfId="0" applyFont="1" applyFill="1" applyAlignment="1">
      <alignment vertical="center"/>
    </xf>
    <xf numFmtId="3" fontId="1" fillId="5" borderId="0" xfId="0" applyNumberFormat="1" applyFont="1" applyFill="1" applyAlignment="1">
      <alignment horizontal="right" vertical="center" readingOrder="1"/>
    </xf>
    <xf numFmtId="0" fontId="2" fillId="5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 readingOrder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1" fillId="3" borderId="3" xfId="0" applyFont="1" applyFill="1" applyBorder="1" applyAlignment="1">
      <alignment horizontal="left" vertical="center" readingOrder="1"/>
    </xf>
    <xf numFmtId="0" fontId="2" fillId="3" borderId="3" xfId="0" applyFont="1" applyFill="1" applyBorder="1" applyAlignment="1">
      <alignment vertical="center"/>
    </xf>
    <xf numFmtId="3" fontId="1" fillId="3" borderId="3" xfId="0" applyNumberFormat="1" applyFont="1" applyFill="1" applyBorder="1" applyAlignment="1">
      <alignment horizontal="right" vertical="center" readingOrder="1"/>
    </xf>
    <xf numFmtId="0" fontId="2" fillId="3" borderId="3" xfId="0" applyFont="1" applyFill="1" applyBorder="1" applyAlignment="1">
      <alignment horizontal="right" vertical="center"/>
    </xf>
    <xf numFmtId="0" fontId="1" fillId="5" borderId="3" xfId="0" applyFont="1" applyFill="1" applyBorder="1" applyAlignment="1">
      <alignment horizontal="left" vertical="center" readingOrder="1"/>
    </xf>
    <xf numFmtId="0" fontId="2" fillId="5" borderId="3" xfId="0" applyFont="1" applyFill="1" applyBorder="1" applyAlignment="1">
      <alignment vertical="center"/>
    </xf>
    <xf numFmtId="3" fontId="1" fillId="5" borderId="3" xfId="0" applyNumberFormat="1" applyFont="1" applyFill="1" applyBorder="1" applyAlignment="1">
      <alignment horizontal="right" vertical="center" readingOrder="1"/>
    </xf>
    <xf numFmtId="0" fontId="2" fillId="5" borderId="3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vertical="center" wrapText="1"/>
    </xf>
    <xf numFmtId="3" fontId="1" fillId="3" borderId="2" xfId="0" applyNumberFormat="1" applyFont="1" applyFill="1" applyBorder="1" applyAlignment="1">
      <alignment horizontal="right" vertical="center" wrapText="1" readingOrder="1"/>
    </xf>
    <xf numFmtId="0" fontId="2" fillId="3" borderId="2" xfId="0" applyFont="1" applyFill="1" applyBorder="1" applyAlignment="1">
      <alignment horizontal="right" vertical="center" wrapText="1"/>
    </xf>
    <xf numFmtId="0" fontId="1" fillId="4" borderId="0" xfId="0" applyFont="1" applyFill="1" applyAlignment="1">
      <alignment horizontal="left" vertical="center" wrapText="1" readingOrder="1"/>
    </xf>
    <xf numFmtId="0" fontId="2" fillId="4" borderId="0" xfId="0" applyFont="1" applyFill="1" applyAlignment="1">
      <alignment vertical="center" wrapText="1"/>
    </xf>
    <xf numFmtId="3" fontId="1" fillId="4" borderId="0" xfId="0" applyNumberFormat="1" applyFont="1" applyFill="1" applyAlignment="1">
      <alignment horizontal="right" vertical="center" wrapText="1" readingOrder="1"/>
    </xf>
    <xf numFmtId="0" fontId="2" fillId="4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 readingOrder="1"/>
    </xf>
    <xf numFmtId="0" fontId="2" fillId="3" borderId="0" xfId="0" applyFont="1" applyFill="1" applyAlignment="1">
      <alignment vertical="center" wrapText="1"/>
    </xf>
    <xf numFmtId="3" fontId="1" fillId="3" borderId="0" xfId="0" applyNumberFormat="1" applyFont="1" applyFill="1" applyAlignment="1">
      <alignment horizontal="right" vertical="center" wrapText="1" readingOrder="1"/>
    </xf>
    <xf numFmtId="0" fontId="2" fillId="3" borderId="0" xfId="0" applyFont="1" applyFill="1" applyAlignment="1">
      <alignment horizontal="right" vertical="center" wrapText="1"/>
    </xf>
    <xf numFmtId="0" fontId="1" fillId="4" borderId="3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vertical="center" wrapText="1"/>
    </xf>
    <xf numFmtId="3" fontId="1" fillId="4" borderId="3" xfId="0" applyNumberFormat="1" applyFont="1" applyFill="1" applyBorder="1" applyAlignment="1">
      <alignment horizontal="right" vertical="center" wrapText="1" readingOrder="1"/>
    </xf>
    <xf numFmtId="0" fontId="2" fillId="4" borderId="3" xfId="0" applyFont="1" applyFill="1" applyBorder="1" applyAlignment="1">
      <alignment horizontal="right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D287-EF11-4CB2-BE28-D11189F1442E}">
  <dimension ref="B1:K25"/>
  <sheetViews>
    <sheetView tabSelected="1" topLeftCell="A8" workbookViewId="0">
      <selection activeCell="C17" sqref="C17"/>
    </sheetView>
  </sheetViews>
  <sheetFormatPr defaultRowHeight="14.4" x14ac:dyDescent="0.3"/>
  <cols>
    <col min="2" max="2" width="39" bestFit="1" customWidth="1"/>
    <col min="4" max="4" width="12.88671875" bestFit="1" customWidth="1"/>
    <col min="6" max="6" width="13.109375" bestFit="1" customWidth="1"/>
    <col min="10" max="10" width="24.88671875" bestFit="1" customWidth="1"/>
    <col min="11" max="11" width="15.44140625" customWidth="1"/>
  </cols>
  <sheetData>
    <row r="1" spans="2:11" ht="15" thickBot="1" x14ac:dyDescent="0.35"/>
    <row r="2" spans="2:11" ht="24" thickTop="1" thickBot="1" x14ac:dyDescent="0.35">
      <c r="B2" s="1" t="s">
        <v>0</v>
      </c>
      <c r="C2" s="2"/>
      <c r="D2" s="1" t="s">
        <v>1</v>
      </c>
      <c r="E2" s="2"/>
      <c r="F2" s="1" t="s">
        <v>2</v>
      </c>
      <c r="G2" s="2"/>
    </row>
    <row r="3" spans="2:11" ht="23.4" thickTop="1" x14ac:dyDescent="0.3">
      <c r="B3" s="3" t="s">
        <v>3</v>
      </c>
      <c r="C3" s="4"/>
      <c r="D3" s="5">
        <v>15169552</v>
      </c>
      <c r="E3" s="6"/>
      <c r="F3" s="5">
        <v>13704021</v>
      </c>
      <c r="G3" s="6"/>
    </row>
    <row r="4" spans="2:11" ht="22.8" x14ac:dyDescent="0.3">
      <c r="B4" s="7" t="s">
        <v>4</v>
      </c>
      <c r="C4" s="8"/>
      <c r="D4" s="9">
        <v>-2061349</v>
      </c>
      <c r="E4" s="10"/>
      <c r="F4" s="9">
        <v>-1688805</v>
      </c>
      <c r="G4" s="10"/>
      <c r="J4" s="11" t="s">
        <v>5</v>
      </c>
      <c r="K4" s="12">
        <f>D6-D4+D9</f>
        <v>7579805</v>
      </c>
    </row>
    <row r="5" spans="2:11" ht="22.8" x14ac:dyDescent="0.3">
      <c r="B5" s="11" t="s">
        <v>6</v>
      </c>
      <c r="C5" s="13"/>
      <c r="D5" s="14">
        <f>-(D3-D6+D4)</f>
        <v>-6388530</v>
      </c>
      <c r="E5" s="14"/>
      <c r="F5" s="14">
        <f t="shared" ref="F5" si="0">-(F3-F6+F4)</f>
        <v>-7549224</v>
      </c>
      <c r="G5" s="15"/>
      <c r="J5" s="11" t="s">
        <v>7</v>
      </c>
      <c r="K5" s="12">
        <f>D18-F18</f>
        <v>2569985</v>
      </c>
    </row>
    <row r="6" spans="2:11" ht="22.8" x14ac:dyDescent="0.3">
      <c r="B6" s="16" t="s">
        <v>8</v>
      </c>
      <c r="C6" s="17"/>
      <c r="D6" s="12">
        <v>6719673</v>
      </c>
      <c r="E6" s="18"/>
      <c r="F6" s="12">
        <v>4465992</v>
      </c>
      <c r="G6" s="18"/>
      <c r="J6" s="11" t="s">
        <v>9</v>
      </c>
      <c r="K6" s="12">
        <f>D15-F15+(-D4)</f>
        <v>-438294</v>
      </c>
    </row>
    <row r="7" spans="2:11" ht="22.8" x14ac:dyDescent="0.3">
      <c r="B7" s="16" t="s">
        <v>10</v>
      </c>
      <c r="C7" s="17"/>
      <c r="D7" s="12">
        <f>D8-D6</f>
        <v>-4647220</v>
      </c>
      <c r="E7" s="12"/>
      <c r="F7" s="12">
        <f t="shared" ref="F7" si="1">F8-F6</f>
        <v>-3769541</v>
      </c>
      <c r="G7" s="18"/>
      <c r="J7" s="11" t="s">
        <v>11</v>
      </c>
      <c r="K7" s="12">
        <f>K4-K5-K6</f>
        <v>5448114</v>
      </c>
    </row>
    <row r="8" spans="2:11" ht="22.8" x14ac:dyDescent="0.3">
      <c r="B8" s="11" t="s">
        <v>12</v>
      </c>
      <c r="C8" s="13"/>
      <c r="D8" s="14">
        <v>2072453</v>
      </c>
      <c r="E8" s="15"/>
      <c r="F8" s="14">
        <v>696451</v>
      </c>
      <c r="G8" s="15"/>
    </row>
    <row r="9" spans="2:11" ht="22.8" x14ac:dyDescent="0.3">
      <c r="B9" s="11" t="s">
        <v>13</v>
      </c>
      <c r="C9" s="13"/>
      <c r="D9" s="14">
        <f>D10-D8</f>
        <v>-1201217</v>
      </c>
      <c r="E9" s="15"/>
      <c r="F9" s="14">
        <f>F10-F8</f>
        <v>-738080</v>
      </c>
      <c r="G9" s="15"/>
    </row>
    <row r="10" spans="2:11" ht="23.4" thickBot="1" x14ac:dyDescent="0.35">
      <c r="B10" s="19" t="s">
        <v>14</v>
      </c>
      <c r="C10" s="20"/>
      <c r="D10" s="21">
        <v>871236</v>
      </c>
      <c r="E10" s="22"/>
      <c r="F10" s="21">
        <v>-41629</v>
      </c>
      <c r="G10" s="22"/>
    </row>
    <row r="11" spans="2:11" ht="24" thickTop="1" thickBot="1" x14ac:dyDescent="0.35">
      <c r="B11" s="23" t="s">
        <v>15</v>
      </c>
      <c r="C11" s="24"/>
      <c r="D11" s="25">
        <f>F21+D10-D21</f>
        <v>146536</v>
      </c>
      <c r="E11" s="26"/>
      <c r="F11" s="25"/>
      <c r="G11" s="26"/>
    </row>
    <row r="12" spans="2:11" ht="15.6" thickTop="1" thickBot="1" x14ac:dyDescent="0.35"/>
    <row r="13" spans="2:11" ht="24" thickTop="1" thickBot="1" x14ac:dyDescent="0.35">
      <c r="B13" s="27" t="s">
        <v>0</v>
      </c>
      <c r="C13" s="28"/>
      <c r="D13" s="29">
        <v>44561</v>
      </c>
      <c r="E13" s="28"/>
      <c r="F13" s="29">
        <v>44196</v>
      </c>
      <c r="G13" s="28"/>
    </row>
    <row r="14" spans="2:11" ht="23.4" thickTop="1" x14ac:dyDescent="0.3">
      <c r="B14" s="30" t="s">
        <v>16</v>
      </c>
      <c r="C14" s="31"/>
      <c r="D14" s="32">
        <v>10361876</v>
      </c>
      <c r="E14" s="33"/>
      <c r="F14" s="32">
        <v>10705995</v>
      </c>
      <c r="G14" s="33"/>
      <c r="J14" s="11" t="s">
        <v>17</v>
      </c>
      <c r="K14" s="12">
        <f>-D7</f>
        <v>4647220</v>
      </c>
    </row>
    <row r="15" spans="2:11" ht="22.8" x14ac:dyDescent="0.3">
      <c r="B15" s="34" t="s">
        <v>18</v>
      </c>
      <c r="C15" s="35"/>
      <c r="D15" s="36">
        <v>90881008</v>
      </c>
      <c r="E15" s="37"/>
      <c r="F15" s="36">
        <v>93380651</v>
      </c>
      <c r="G15" s="37"/>
      <c r="J15" s="11" t="s">
        <v>19</v>
      </c>
      <c r="K15" s="12">
        <f>D19-F19</f>
        <v>-654358</v>
      </c>
    </row>
    <row r="16" spans="2:11" ht="22.8" x14ac:dyDescent="0.3">
      <c r="B16" s="38" t="s">
        <v>20</v>
      </c>
      <c r="C16" s="39"/>
      <c r="D16" s="40">
        <v>101242884</v>
      </c>
      <c r="E16" s="41"/>
      <c r="F16" s="40">
        <v>104086646</v>
      </c>
      <c r="G16" s="41"/>
      <c r="J16" s="11" t="s">
        <v>21</v>
      </c>
      <c r="K16" s="12">
        <f>K14-K15</f>
        <v>5301578</v>
      </c>
    </row>
    <row r="17" spans="2:11" ht="22.8" x14ac:dyDescent="0.3">
      <c r="B17" s="34" t="s">
        <v>22</v>
      </c>
      <c r="C17" s="35"/>
      <c r="D17" s="36">
        <v>12014583</v>
      </c>
      <c r="E17" s="37"/>
      <c r="F17" s="36">
        <v>14928687</v>
      </c>
      <c r="G17" s="37"/>
    </row>
    <row r="18" spans="2:11" ht="22.8" x14ac:dyDescent="0.3">
      <c r="B18" s="34" t="s">
        <v>23</v>
      </c>
      <c r="C18" s="35"/>
      <c r="D18" s="36">
        <f>D14-D17</f>
        <v>-1652707</v>
      </c>
      <c r="E18" s="36"/>
      <c r="F18" s="36">
        <f t="shared" ref="F18" si="2">F14-F17</f>
        <v>-4222692</v>
      </c>
      <c r="G18" s="37"/>
    </row>
    <row r="19" spans="2:11" ht="22.8" x14ac:dyDescent="0.3">
      <c r="B19" s="38" t="s">
        <v>24</v>
      </c>
      <c r="C19" s="39"/>
      <c r="D19" s="40">
        <v>63727986</v>
      </c>
      <c r="E19" s="41"/>
      <c r="F19" s="40">
        <v>64382344</v>
      </c>
      <c r="G19" s="41"/>
      <c r="J19" s="11" t="s">
        <v>25</v>
      </c>
      <c r="K19" s="12">
        <f>D11</f>
        <v>146536</v>
      </c>
    </row>
    <row r="20" spans="2:11" ht="22.8" x14ac:dyDescent="0.3">
      <c r="B20" s="34" t="s">
        <v>26</v>
      </c>
      <c r="C20" s="35"/>
      <c r="D20" s="36">
        <v>75742569</v>
      </c>
      <c r="E20" s="37"/>
      <c r="F20" s="36">
        <v>79311031</v>
      </c>
      <c r="G20" s="37"/>
    </row>
    <row r="21" spans="2:11" ht="22.8" x14ac:dyDescent="0.3">
      <c r="B21" s="38" t="s">
        <v>27</v>
      </c>
      <c r="C21" s="39"/>
      <c r="D21" s="40">
        <v>25500315</v>
      </c>
      <c r="E21" s="41"/>
      <c r="F21" s="40">
        <v>24775615</v>
      </c>
      <c r="G21" s="41"/>
      <c r="J21" s="11" t="s">
        <v>28</v>
      </c>
      <c r="K21" s="12" t="b">
        <f>K7=(K16+K19)</f>
        <v>1</v>
      </c>
    </row>
    <row r="22" spans="2:11" ht="23.4" thickBot="1" x14ac:dyDescent="0.35">
      <c r="B22" s="42" t="s">
        <v>29</v>
      </c>
      <c r="C22" s="43"/>
      <c r="D22" s="44">
        <v>7500</v>
      </c>
      <c r="E22" s="45"/>
      <c r="F22" s="44">
        <v>7500</v>
      </c>
      <c r="G22" s="45"/>
    </row>
    <row r="23" spans="2:11" ht="15" thickTop="1" x14ac:dyDescent="0.3"/>
    <row r="24" spans="2:11" x14ac:dyDescent="0.3">
      <c r="D24" s="46"/>
      <c r="F24" s="46"/>
    </row>
    <row r="25" spans="2:11" x14ac:dyDescent="0.3">
      <c r="F25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2023-02-19T16:08:57Z</dcterms:created>
  <dcterms:modified xsi:type="dcterms:W3CDTF">2023-02-19T16:51:38Z</dcterms:modified>
</cp:coreProperties>
</file>