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tu.sukma\Documents\"/>
    </mc:Choice>
  </mc:AlternateContent>
  <xr:revisionPtr revIDLastSave="0" documentId="13_ncr:1_{13F8CC0D-EDC3-4B78-9455-EF350A4261EC}" xr6:coauthVersionLast="47" xr6:coauthVersionMax="47" xr10:uidLastSave="{00000000-0000-0000-0000-000000000000}"/>
  <bookViews>
    <workbookView xWindow="-98" yWindow="13403" windowWidth="21795" windowHeight="12975" xr2:uid="{3162C962-5005-4499-8732-9DEC4928C570}"/>
  </bookViews>
  <sheets>
    <sheet name="28" sheetId="5" r:id="rId1"/>
    <sheet name="27" sheetId="4" r:id="rId2"/>
    <sheet name="26" sheetId="2" r:id="rId3"/>
    <sheet name="24 and 25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66" i="5" l="1"/>
  <c r="Z4" i="5"/>
  <c r="Y4" i="5"/>
  <c r="Z3" i="5"/>
  <c r="Y3" i="5"/>
  <c r="S52" i="5"/>
  <c r="AG10" i="4"/>
  <c r="N29" i="5"/>
  <c r="N27" i="5"/>
  <c r="N23" i="5"/>
  <c r="N24" i="5" s="1"/>
  <c r="M23" i="5"/>
  <c r="N28" i="5" s="1"/>
  <c r="N30" i="5" s="1"/>
  <c r="I37" i="5"/>
  <c r="I55" i="5"/>
  <c r="I27" i="5"/>
  <c r="I29" i="5"/>
  <c r="I23" i="5"/>
  <c r="I24" i="5" s="1"/>
  <c r="H23" i="5"/>
  <c r="I28" i="5" s="1"/>
  <c r="I30" i="5" s="1"/>
  <c r="D49" i="5"/>
  <c r="D27" i="5"/>
  <c r="D10" i="5"/>
  <c r="D55" i="5"/>
  <c r="C23" i="5"/>
  <c r="S49" i="5"/>
  <c r="R23" i="5"/>
  <c r="AG52" i="5"/>
  <c r="AG49" i="5"/>
  <c r="AG48" i="5"/>
  <c r="AG31" i="5"/>
  <c r="AG29" i="5"/>
  <c r="N21" i="5"/>
  <c r="N6" i="5" s="1"/>
  <c r="I21" i="5"/>
  <c r="Y5" i="5" s="1"/>
  <c r="AF57" i="5"/>
  <c r="AF59" i="5" s="1"/>
  <c r="R57" i="5"/>
  <c r="M57" i="5"/>
  <c r="H57" i="5"/>
  <c r="C57" i="5"/>
  <c r="AG55" i="5"/>
  <c r="S55" i="5"/>
  <c r="N55" i="5"/>
  <c r="AF50" i="5"/>
  <c r="AF23" i="5" s="1"/>
  <c r="R50" i="5"/>
  <c r="M50" i="5"/>
  <c r="H50" i="5"/>
  <c r="C50" i="5"/>
  <c r="N49" i="5"/>
  <c r="I49" i="5"/>
  <c r="S48" i="5"/>
  <c r="D48" i="5"/>
  <c r="AG43" i="5"/>
  <c r="S43" i="5"/>
  <c r="D43" i="5"/>
  <c r="AF40" i="5"/>
  <c r="AF45" i="5" s="1"/>
  <c r="R40" i="5"/>
  <c r="R45" i="5" s="1"/>
  <c r="M40" i="5"/>
  <c r="M45" i="5" s="1"/>
  <c r="H40" i="5"/>
  <c r="H45" i="5" s="1"/>
  <c r="C40" i="5"/>
  <c r="C45" i="5" s="1"/>
  <c r="AG39" i="5"/>
  <c r="S39" i="5"/>
  <c r="D39" i="5"/>
  <c r="AG38" i="5"/>
  <c r="S38" i="5"/>
  <c r="D38" i="5"/>
  <c r="AG37" i="5"/>
  <c r="S37" i="5"/>
  <c r="D37" i="5"/>
  <c r="AF18" i="5"/>
  <c r="R18" i="5"/>
  <c r="M18" i="5"/>
  <c r="H18" i="5"/>
  <c r="C18" i="5"/>
  <c r="AF13" i="5"/>
  <c r="R13" i="5"/>
  <c r="R19" i="5" s="1"/>
  <c r="R67" i="5" s="1"/>
  <c r="M13" i="5"/>
  <c r="M19" i="5" s="1"/>
  <c r="H13" i="5"/>
  <c r="H19" i="5" s="1"/>
  <c r="C13" i="5"/>
  <c r="C19" i="5" s="1"/>
  <c r="AG10" i="5"/>
  <c r="S10" i="5"/>
  <c r="N10" i="5"/>
  <c r="I10" i="5"/>
  <c r="AF9" i="5"/>
  <c r="R9" i="5"/>
  <c r="M9" i="5"/>
  <c r="H9" i="5"/>
  <c r="C9" i="5"/>
  <c r="AG8" i="5"/>
  <c r="S8" i="5"/>
  <c r="I8" i="5"/>
  <c r="D8" i="5"/>
  <c r="AG7" i="5"/>
  <c r="S7" i="5"/>
  <c r="D7" i="5"/>
  <c r="AG6" i="5"/>
  <c r="S6" i="5"/>
  <c r="D6" i="5"/>
  <c r="AG39" i="4"/>
  <c r="AG38" i="4"/>
  <c r="AG40" i="4" s="1"/>
  <c r="AG42" i="4"/>
  <c r="AG7" i="4"/>
  <c r="AG6" i="4"/>
  <c r="AG33" i="4"/>
  <c r="AG29" i="4"/>
  <c r="AG28" i="4"/>
  <c r="AG27" i="4"/>
  <c r="AG30" i="4" s="1"/>
  <c r="AG8" i="4"/>
  <c r="AF47" i="4"/>
  <c r="AG45" i="4"/>
  <c r="AF40" i="4"/>
  <c r="AF49" i="4" s="1"/>
  <c r="AF30" i="4"/>
  <c r="AF35" i="4" s="1"/>
  <c r="AF18" i="4"/>
  <c r="AF13" i="4"/>
  <c r="AF56" i="4" s="1"/>
  <c r="AF9" i="4"/>
  <c r="Y3" i="4"/>
  <c r="Y5" i="4"/>
  <c r="Y4" i="4"/>
  <c r="S38" i="4"/>
  <c r="S40" i="4" s="1"/>
  <c r="S33" i="4"/>
  <c r="S29" i="4"/>
  <c r="S28" i="4"/>
  <c r="S27" i="4"/>
  <c r="S8" i="4"/>
  <c r="S7" i="4"/>
  <c r="S6" i="4"/>
  <c r="R47" i="4"/>
  <c r="S45" i="4"/>
  <c r="S42" i="4"/>
  <c r="R40" i="4"/>
  <c r="R49" i="4" s="1"/>
  <c r="S39" i="4"/>
  <c r="R30" i="4"/>
  <c r="R35" i="4" s="1"/>
  <c r="R18" i="4"/>
  <c r="R13" i="4"/>
  <c r="R19" i="4" s="1"/>
  <c r="R57" i="4" s="1"/>
  <c r="S10" i="4"/>
  <c r="R9" i="4"/>
  <c r="N21" i="4"/>
  <c r="N8" i="4" s="1"/>
  <c r="M47" i="4"/>
  <c r="N45" i="4"/>
  <c r="N42" i="4"/>
  <c r="M40" i="4"/>
  <c r="M49" i="4" s="1"/>
  <c r="N39" i="4"/>
  <c r="M30" i="4"/>
  <c r="M35" i="4" s="1"/>
  <c r="M18" i="4"/>
  <c r="M13" i="4"/>
  <c r="M16" i="4" s="1"/>
  <c r="N10" i="4"/>
  <c r="M9" i="4"/>
  <c r="I45" i="4"/>
  <c r="I42" i="4"/>
  <c r="I39" i="4"/>
  <c r="I38" i="4"/>
  <c r="I40" i="4" s="1"/>
  <c r="I33" i="4"/>
  <c r="I29" i="4"/>
  <c r="I28" i="4"/>
  <c r="I10" i="4"/>
  <c r="I21" i="4"/>
  <c r="I6" i="4" s="1"/>
  <c r="H47" i="4"/>
  <c r="H40" i="4"/>
  <c r="H49" i="4" s="1"/>
  <c r="H30" i="4"/>
  <c r="H35" i="4" s="1"/>
  <c r="H18" i="4"/>
  <c r="H13" i="4"/>
  <c r="H19" i="4" s="1"/>
  <c r="H9" i="4"/>
  <c r="C47" i="4"/>
  <c r="D45" i="4"/>
  <c r="D42" i="4"/>
  <c r="C40" i="4"/>
  <c r="D39" i="4"/>
  <c r="D38" i="4"/>
  <c r="D40" i="4" s="1"/>
  <c r="D33" i="4"/>
  <c r="C30" i="4"/>
  <c r="C35" i="4" s="1"/>
  <c r="D29" i="4"/>
  <c r="D28" i="4"/>
  <c r="D27" i="4"/>
  <c r="D30" i="4" s="1"/>
  <c r="D35" i="4" s="1"/>
  <c r="C18" i="4"/>
  <c r="C13" i="4"/>
  <c r="C16" i="4" s="1"/>
  <c r="D10" i="4"/>
  <c r="C9" i="4"/>
  <c r="D8" i="4"/>
  <c r="D7" i="4"/>
  <c r="D6" i="4"/>
  <c r="D28" i="2"/>
  <c r="D30" i="2"/>
  <c r="C57" i="2"/>
  <c r="D55" i="2"/>
  <c r="D52" i="2"/>
  <c r="C50" i="2"/>
  <c r="D49" i="2"/>
  <c r="D43" i="2"/>
  <c r="C40" i="2"/>
  <c r="C45" i="2" s="1"/>
  <c r="D39" i="2"/>
  <c r="D38" i="2"/>
  <c r="D37" i="2"/>
  <c r="C18" i="2"/>
  <c r="C13" i="2"/>
  <c r="C16" i="2" s="1"/>
  <c r="D10" i="2"/>
  <c r="C9" i="2"/>
  <c r="D8" i="2"/>
  <c r="D7" i="2"/>
  <c r="D6" i="2"/>
  <c r="J46" i="1"/>
  <c r="J37" i="1"/>
  <c r="J36" i="1"/>
  <c r="J35" i="1"/>
  <c r="J27" i="1"/>
  <c r="I25" i="1"/>
  <c r="I26" i="1"/>
  <c r="J8" i="1"/>
  <c r="J7" i="1"/>
  <c r="J6" i="1"/>
  <c r="J41" i="1"/>
  <c r="I27" i="1"/>
  <c r="J47" i="1"/>
  <c r="J50" i="1"/>
  <c r="J53" i="1"/>
  <c r="I55" i="1"/>
  <c r="I48" i="1"/>
  <c r="I38" i="1"/>
  <c r="I43" i="1" s="1"/>
  <c r="I18" i="1"/>
  <c r="I13" i="1"/>
  <c r="I19" i="1" s="1"/>
  <c r="J10" i="1"/>
  <c r="I9" i="1"/>
  <c r="D35" i="1"/>
  <c r="D53" i="1"/>
  <c r="D50" i="1"/>
  <c r="D47" i="1"/>
  <c r="D46" i="1"/>
  <c r="D48" i="1" s="1"/>
  <c r="D41" i="1"/>
  <c r="D37" i="1"/>
  <c r="D36" i="1"/>
  <c r="C55" i="1"/>
  <c r="C48" i="1"/>
  <c r="C38" i="1"/>
  <c r="C43" i="1" s="1"/>
  <c r="N6" i="4" l="1"/>
  <c r="N9" i="4" s="1"/>
  <c r="N11" i="4" s="1"/>
  <c r="N12" i="4" s="1"/>
  <c r="N18" i="4" s="1"/>
  <c r="N7" i="4"/>
  <c r="N27" i="4"/>
  <c r="I8" i="4"/>
  <c r="N28" i="4"/>
  <c r="I7" i="4"/>
  <c r="I9" i="4" s="1"/>
  <c r="I11" i="4" s="1"/>
  <c r="I12" i="4" s="1"/>
  <c r="I18" i="4" s="1"/>
  <c r="N29" i="4"/>
  <c r="M19" i="4"/>
  <c r="N33" i="4"/>
  <c r="N38" i="4"/>
  <c r="N40" i="4" s="1"/>
  <c r="Y6" i="4"/>
  <c r="R56" i="4"/>
  <c r="R58" i="4" s="1"/>
  <c r="R60" i="4" s="1"/>
  <c r="I27" i="4"/>
  <c r="I30" i="4" s="1"/>
  <c r="I39" i="5"/>
  <c r="AG9" i="5"/>
  <c r="AG11" i="5" s="1"/>
  <c r="AG12" i="5" s="1"/>
  <c r="AG18" i="5" s="1"/>
  <c r="D50" i="5"/>
  <c r="S50" i="5"/>
  <c r="S29" i="5" s="1"/>
  <c r="I38" i="5"/>
  <c r="AG50" i="5"/>
  <c r="C59" i="5"/>
  <c r="H59" i="5"/>
  <c r="M59" i="5"/>
  <c r="AF19" i="5"/>
  <c r="AF67" i="5" s="1"/>
  <c r="R66" i="5"/>
  <c r="R59" i="5"/>
  <c r="D9" i="5"/>
  <c r="D11" i="5" s="1"/>
  <c r="D12" i="5" s="1"/>
  <c r="D18" i="5" s="1"/>
  <c r="N39" i="5"/>
  <c r="S9" i="5"/>
  <c r="S11" i="5" s="1"/>
  <c r="S12" i="5" s="1"/>
  <c r="S18" i="5" s="1"/>
  <c r="N43" i="5"/>
  <c r="D40" i="5"/>
  <c r="D45" i="5" s="1"/>
  <c r="N8" i="5"/>
  <c r="N37" i="5"/>
  <c r="S40" i="5"/>
  <c r="S45" i="5" s="1"/>
  <c r="H16" i="5"/>
  <c r="AG40" i="5"/>
  <c r="AG45" i="5" s="1"/>
  <c r="M16" i="5"/>
  <c r="R16" i="5"/>
  <c r="AF16" i="5"/>
  <c r="N38" i="5"/>
  <c r="I40" i="5"/>
  <c r="R68" i="5"/>
  <c r="R70" i="5" s="1"/>
  <c r="AF68" i="5"/>
  <c r="AF70" i="5" s="1"/>
  <c r="I7" i="5"/>
  <c r="N7" i="5"/>
  <c r="C16" i="5"/>
  <c r="I6" i="5"/>
  <c r="I48" i="5"/>
  <c r="I50" i="5" s="1"/>
  <c r="I43" i="5"/>
  <c r="N48" i="5"/>
  <c r="N50" i="5" s="1"/>
  <c r="Y6" i="5"/>
  <c r="AG9" i="4"/>
  <c r="AG11" i="4" s="1"/>
  <c r="AG35" i="4"/>
  <c r="AF16" i="4"/>
  <c r="AF19" i="4"/>
  <c r="AF57" i="4" s="1"/>
  <c r="AF58" i="4" s="1"/>
  <c r="AF60" i="4" s="1"/>
  <c r="S30" i="4"/>
  <c r="S35" i="4" s="1"/>
  <c r="S9" i="4"/>
  <c r="S11" i="4" s="1"/>
  <c r="S12" i="4"/>
  <c r="S18" i="4" s="1"/>
  <c r="R16" i="4"/>
  <c r="I35" i="4"/>
  <c r="H16" i="4"/>
  <c r="D9" i="4"/>
  <c r="D11" i="4"/>
  <c r="D12" i="4" s="1"/>
  <c r="D18" i="4" s="1"/>
  <c r="C19" i="4"/>
  <c r="C49" i="4"/>
  <c r="D40" i="2"/>
  <c r="D45" i="2" s="1"/>
  <c r="C23" i="2"/>
  <c r="C59" i="2"/>
  <c r="C19" i="2"/>
  <c r="D9" i="2"/>
  <c r="D11" i="2" s="1"/>
  <c r="D12" i="2" s="1"/>
  <c r="J38" i="1"/>
  <c r="J43" i="1" s="1"/>
  <c r="I57" i="1"/>
  <c r="D38" i="1"/>
  <c r="D43" i="1" s="1"/>
  <c r="J48" i="1"/>
  <c r="C57" i="1"/>
  <c r="J9" i="1"/>
  <c r="J11" i="1" s="1"/>
  <c r="J12" i="1" s="1"/>
  <c r="I16" i="1"/>
  <c r="C18" i="1"/>
  <c r="D10" i="1"/>
  <c r="D7" i="1"/>
  <c r="D8" i="1"/>
  <c r="D6" i="1"/>
  <c r="C9" i="1"/>
  <c r="N30" i="4" l="1"/>
  <c r="N35" i="4" s="1"/>
  <c r="D29" i="5"/>
  <c r="D30" i="5" s="1"/>
  <c r="D23" i="5"/>
  <c r="D24" i="5" s="1"/>
  <c r="N9" i="5"/>
  <c r="N11" i="5" s="1"/>
  <c r="N12" i="5" s="1"/>
  <c r="N18" i="5" s="1"/>
  <c r="I9" i="5"/>
  <c r="I11" i="5" s="1"/>
  <c r="I12" i="5" s="1"/>
  <c r="I18" i="5" s="1"/>
  <c r="N40" i="5"/>
  <c r="N45" i="5" s="1"/>
  <c r="D13" i="5"/>
  <c r="I45" i="5"/>
  <c r="S13" i="5"/>
  <c r="AG13" i="5"/>
  <c r="AG12" i="4"/>
  <c r="AG18" i="4" s="1"/>
  <c r="S13" i="4"/>
  <c r="N13" i="4"/>
  <c r="I13" i="4"/>
  <c r="D13" i="4"/>
  <c r="D15" i="4"/>
  <c r="D19" i="4" s="1"/>
  <c r="D9" i="1"/>
  <c r="J18" i="1"/>
  <c r="J13" i="1"/>
  <c r="D11" i="1"/>
  <c r="D12" i="1" s="1"/>
  <c r="D18" i="1" s="1"/>
  <c r="C13" i="1"/>
  <c r="C19" i="1" s="1"/>
  <c r="AG15" i="5" l="1"/>
  <c r="AG19" i="5" s="1"/>
  <c r="S15" i="5"/>
  <c r="S19" i="5" s="1"/>
  <c r="N13" i="5"/>
  <c r="I13" i="5"/>
  <c r="D15" i="5"/>
  <c r="D19" i="5" s="1"/>
  <c r="D16" i="5"/>
  <c r="D56" i="5" s="1"/>
  <c r="D57" i="5" s="1"/>
  <c r="AG13" i="4"/>
  <c r="AG15" i="4" s="1"/>
  <c r="AG19" i="4" s="1"/>
  <c r="S15" i="4"/>
  <c r="S19" i="4" s="1"/>
  <c r="N15" i="4"/>
  <c r="N19" i="4" s="1"/>
  <c r="I15" i="4"/>
  <c r="I19" i="4" s="1"/>
  <c r="D16" i="4"/>
  <c r="D46" i="4" s="1"/>
  <c r="D47" i="4" s="1"/>
  <c r="D49" i="4" s="1"/>
  <c r="D51" i="4" s="1"/>
  <c r="Z4" i="4" s="1"/>
  <c r="D13" i="1"/>
  <c r="D15" i="1" s="1"/>
  <c r="J15" i="1"/>
  <c r="J19" i="1" s="1"/>
  <c r="C16" i="1"/>
  <c r="D59" i="5" l="1"/>
  <c r="D61" i="5" s="1"/>
  <c r="I15" i="5"/>
  <c r="I19" i="5" s="1"/>
  <c r="N15" i="5"/>
  <c r="N19" i="5" s="1"/>
  <c r="S16" i="5"/>
  <c r="S56" i="5" s="1"/>
  <c r="S57" i="5" s="1"/>
  <c r="S27" i="5" s="1"/>
  <c r="S28" i="5" s="1"/>
  <c r="S30" i="5" s="1"/>
  <c r="AG16" i="5"/>
  <c r="AG56" i="5" s="1"/>
  <c r="AG57" i="5" s="1"/>
  <c r="AG16" i="4"/>
  <c r="AG46" i="4" s="1"/>
  <c r="AG47" i="4" s="1"/>
  <c r="AG49" i="4" s="1"/>
  <c r="AG51" i="4" s="1"/>
  <c r="S16" i="4"/>
  <c r="S46" i="4" s="1"/>
  <c r="S47" i="4" s="1"/>
  <c r="S49" i="4" s="1"/>
  <c r="S51" i="4" s="1"/>
  <c r="Z3" i="4" s="1"/>
  <c r="N16" i="4"/>
  <c r="N46" i="4" s="1"/>
  <c r="N47" i="4" s="1"/>
  <c r="N49" i="4" s="1"/>
  <c r="N51" i="4" s="1"/>
  <c r="Z6" i="4" s="1"/>
  <c r="I16" i="4"/>
  <c r="D16" i="1"/>
  <c r="D54" i="1" s="1"/>
  <c r="D55" i="1" s="1"/>
  <c r="D57" i="1" s="1"/>
  <c r="D59" i="1" s="1"/>
  <c r="D19" i="1"/>
  <c r="J16" i="1"/>
  <c r="I47" i="4" l="1"/>
  <c r="I49" i="4" s="1"/>
  <c r="I51" i="4" s="1"/>
  <c r="Z5" i="4" s="1"/>
  <c r="I46" i="4"/>
  <c r="D28" i="5"/>
  <c r="S59" i="5"/>
  <c r="S61" i="5" s="1"/>
  <c r="S23" i="5"/>
  <c r="S24" i="5" s="1"/>
  <c r="AG59" i="5"/>
  <c r="AG23" i="5"/>
  <c r="AG24" i="5" s="1"/>
  <c r="AG61" i="5"/>
  <c r="AG27" i="5"/>
  <c r="AG28" i="5" s="1"/>
  <c r="AG30" i="5" s="1"/>
  <c r="AG32" i="5" s="1"/>
  <c r="N16" i="5"/>
  <c r="N56" i="5" s="1"/>
  <c r="N57" i="5" s="1"/>
  <c r="N59" i="5" s="1"/>
  <c r="N61" i="5" s="1"/>
  <c r="Z6" i="5" s="1"/>
  <c r="I16" i="5"/>
  <c r="I56" i="5" s="1"/>
  <c r="I57" i="5" s="1"/>
  <c r="I59" i="5" s="1"/>
  <c r="I61" i="5" s="1"/>
  <c r="Z5" i="5" s="1"/>
  <c r="J54" i="1"/>
  <c r="J55" i="1" s="1"/>
  <c r="J57" i="1" s="1"/>
  <c r="J59" i="1" s="1"/>
  <c r="D18" i="2" l="1"/>
  <c r="D13" i="2"/>
  <c r="D15" i="2" s="1"/>
  <c r="D19" i="2" s="1"/>
  <c r="D16" i="2" l="1"/>
  <c r="D56" i="2" s="1"/>
  <c r="D57" i="2" s="1"/>
  <c r="D26" i="2" s="1"/>
  <c r="D27" i="2" s="1"/>
  <c r="D29" i="2" s="1"/>
  <c r="D31" i="2" s="1"/>
  <c r="D48" i="2" s="1"/>
  <c r="D50" i="2" s="1"/>
  <c r="D23" i="2" s="1"/>
  <c r="D59" i="2" l="1"/>
  <c r="D62" i="2" s="1"/>
</calcChain>
</file>

<file path=xl/sharedStrings.xml><?xml version="1.0" encoding="utf-8"?>
<sst xmlns="http://schemas.openxmlformats.org/spreadsheetml/2006/main" count="698" uniqueCount="73">
  <si>
    <t>Crosby Inc.</t>
  </si>
  <si>
    <t>Sales</t>
  </si>
  <si>
    <t>Costs</t>
  </si>
  <si>
    <t>Other Expenses</t>
  </si>
  <si>
    <t>EBIT</t>
  </si>
  <si>
    <t>Interest Paid</t>
  </si>
  <si>
    <t>Taxable Income</t>
  </si>
  <si>
    <t>Taxes</t>
  </si>
  <si>
    <t>Net Income</t>
  </si>
  <si>
    <t>Dividend</t>
  </si>
  <si>
    <t>Addition to RE</t>
  </si>
  <si>
    <t>Dividend Payout Ratio</t>
  </si>
  <si>
    <t>Tax Rate</t>
  </si>
  <si>
    <t>2020</t>
  </si>
  <si>
    <t>Sales growth</t>
  </si>
  <si>
    <t>2021</t>
  </si>
  <si>
    <t>constant</t>
  </si>
  <si>
    <t>Income Statement</t>
  </si>
  <si>
    <t>Balance Sheet</t>
  </si>
  <si>
    <t>Cash</t>
  </si>
  <si>
    <t>A/R</t>
  </si>
  <si>
    <t>Inventory</t>
  </si>
  <si>
    <t>Total Current Asset</t>
  </si>
  <si>
    <t>Net PPE</t>
  </si>
  <si>
    <t>Current Liabilities</t>
  </si>
  <si>
    <t>A/P</t>
  </si>
  <si>
    <t>N/P</t>
  </si>
  <si>
    <t>Long Term Debt</t>
  </si>
  <si>
    <t>Total Current Liabilities</t>
  </si>
  <si>
    <t>Common stock</t>
  </si>
  <si>
    <t>Retained earning</t>
  </si>
  <si>
    <t>Total Liabilities and Equity</t>
  </si>
  <si>
    <t>Total Assets</t>
  </si>
  <si>
    <t>Fixed Assets</t>
  </si>
  <si>
    <t>Current Assets</t>
  </si>
  <si>
    <t>Equities</t>
  </si>
  <si>
    <t>External Financing Needed (EFN)</t>
  </si>
  <si>
    <t>Capacity</t>
  </si>
  <si>
    <t>80% and growth</t>
  </si>
  <si>
    <t>PPE</t>
  </si>
  <si>
    <t>This projected sales after 20% growth are less than the full capacity sales. Hence, no new investment in PPE needed, i.e., constant PPE</t>
  </si>
  <si>
    <t>Debt to Equity Ratio</t>
  </si>
  <si>
    <t>Total Equities</t>
  </si>
  <si>
    <t>plugged</t>
  </si>
  <si>
    <t>Total Liabilities</t>
  </si>
  <si>
    <t>Assme that DER is constant</t>
  </si>
  <si>
    <t>Use goalseek, set this cell to zero by changing cell S21 (see green highlight)</t>
  </si>
  <si>
    <t>Growth</t>
  </si>
  <si>
    <t>EFN</t>
  </si>
  <si>
    <t>Positive relationship between growth rate and EFN</t>
  </si>
  <si>
    <t>Internal Growth Rate:</t>
  </si>
  <si>
    <t xml:space="preserve">                 </t>
  </si>
  <si>
    <t xml:space="preserve">The growth at which the company can grow without raising external financing                                                       </t>
  </si>
  <si>
    <t>ROA</t>
  </si>
  <si>
    <t>Retention Ratio</t>
  </si>
  <si>
    <t>IGR</t>
  </si>
  <si>
    <t xml:space="preserve">Use IGR assumption: all expenses grow with sales including interest expense </t>
  </si>
  <si>
    <t>while all liabilities, debt, and stock are remain constant</t>
  </si>
  <si>
    <t>IGR using formula vs projection</t>
  </si>
  <si>
    <t>on why its different?</t>
  </si>
  <si>
    <t>spontaneous instead of constant</t>
  </si>
  <si>
    <t>constant as IGR assume zero external financing</t>
  </si>
  <si>
    <t>Discrepancy</t>
  </si>
  <si>
    <t>spontaneous</t>
  </si>
  <si>
    <t xml:space="preserve">Use SGR assumption: all expenses grow with sales including interest expense </t>
  </si>
  <si>
    <t>while DER and stock remain constant</t>
  </si>
  <si>
    <t>Assume DER is constant</t>
  </si>
  <si>
    <t>IGR formula assume that all of the income statement items move along with sales</t>
  </si>
  <si>
    <t>while in this case, interest expanse are hold constant.</t>
  </si>
  <si>
    <t xml:space="preserve">The iGR formula also assume that all liabilities and stock are remain constant </t>
  </si>
  <si>
    <t>while financing only come from internal financing which is from retained earning</t>
  </si>
  <si>
    <t>-</t>
  </si>
  <si>
    <t>SGR formula assume that all of the income statement items move along with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</si>
</sst>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Verdana"/>
      <family val="2"/>
    </font>
    <font>
      <sz val="8"/>
      <name val="Aptos Narrow"/>
      <family val="2"/>
      <scheme val="minor"/>
    </font>
    <font>
      <i/>
      <sz val="9"/>
      <color theme="1"/>
      <name val="Verdana"/>
      <family val="2"/>
    </font>
    <font>
      <u/>
      <sz val="9"/>
      <color theme="1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/>
    <xf numFmtId="164" fontId="2" fillId="0" borderId="0" xfId="1" applyNumberFormat="1" applyFont="1"/>
    <xf numFmtId="164" fontId="2" fillId="0" borderId="1" xfId="1" applyNumberFormat="1" applyFont="1" applyBorder="1"/>
    <xf numFmtId="9" fontId="2" fillId="0" borderId="0" xfId="0" applyNumberFormat="1" applyFont="1"/>
    <xf numFmtId="10" fontId="2" fillId="0" borderId="0" xfId="2" applyNumberFormat="1" applyFont="1"/>
    <xf numFmtId="164" fontId="2" fillId="0" borderId="0" xfId="0" applyNumberFormat="1" applyFont="1"/>
    <xf numFmtId="164" fontId="2" fillId="0" borderId="1" xfId="0" applyNumberFormat="1" applyFont="1" applyBorder="1"/>
    <xf numFmtId="0" fontId="2" fillId="0" borderId="2" xfId="0" applyFont="1" applyBorder="1"/>
    <xf numFmtId="164" fontId="2" fillId="0" borderId="0" xfId="1" applyNumberFormat="1" applyFont="1" applyBorder="1"/>
    <xf numFmtId="164" fontId="2" fillId="0" borderId="3" xfId="0" applyNumberFormat="1" applyFont="1" applyBorder="1"/>
    <xf numFmtId="0" fontId="2" fillId="0" borderId="4" xfId="0" applyFont="1" applyBorder="1"/>
    <xf numFmtId="164" fontId="2" fillId="0" borderId="5" xfId="0" applyNumberFormat="1" applyFont="1" applyBorder="1"/>
    <xf numFmtId="164" fontId="2" fillId="0" borderId="3" xfId="1" applyNumberFormat="1" applyFont="1" applyBorder="1"/>
    <xf numFmtId="164" fontId="2" fillId="0" borderId="5" xfId="1" applyNumberFormat="1" applyFont="1" applyBorder="1"/>
    <xf numFmtId="0" fontId="2" fillId="0" borderId="6" xfId="0" applyFont="1" applyBorder="1"/>
    <xf numFmtId="164" fontId="2" fillId="0" borderId="7" xfId="1" applyNumberFormat="1" applyFont="1" applyBorder="1"/>
    <xf numFmtId="164" fontId="2" fillId="0" borderId="8" xfId="1" applyNumberFormat="1" applyFont="1" applyBorder="1"/>
    <xf numFmtId="164" fontId="2" fillId="2" borderId="7" xfId="1" applyNumberFormat="1" applyFont="1" applyFill="1" applyBorder="1"/>
    <xf numFmtId="164" fontId="2" fillId="0" borderId="9" xfId="1" applyNumberFormat="1" applyFont="1" applyBorder="1"/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left" indent="2"/>
    </xf>
    <xf numFmtId="0" fontId="2" fillId="0" borderId="4" xfId="0" applyFont="1" applyBorder="1" applyAlignment="1">
      <alignment horizontal="left" indent="2"/>
    </xf>
    <xf numFmtId="0" fontId="2" fillId="0" borderId="10" xfId="0" applyFont="1" applyBorder="1"/>
    <xf numFmtId="0" fontId="2" fillId="2" borderId="6" xfId="0" applyFont="1" applyFill="1" applyBorder="1"/>
    <xf numFmtId="0" fontId="2" fillId="0" borderId="3" xfId="0" applyFont="1" applyBorder="1"/>
    <xf numFmtId="164" fontId="2" fillId="0" borderId="11" xfId="1" applyNumberFormat="1" applyFont="1" applyBorder="1"/>
    <xf numFmtId="164" fontId="2" fillId="2" borderId="8" xfId="1" applyNumberFormat="1" applyFont="1" applyFill="1" applyBorder="1"/>
    <xf numFmtId="0" fontId="2" fillId="0" borderId="2" xfId="1" quotePrefix="1" applyNumberFormat="1" applyFont="1" applyFill="1" applyBorder="1" applyAlignment="1">
      <alignment horizontal="left"/>
    </xf>
    <xf numFmtId="164" fontId="2" fillId="0" borderId="0" xfId="1" quotePrefix="1" applyNumberFormat="1" applyFont="1" applyFill="1" applyBorder="1" applyAlignment="1">
      <alignment horizontal="center"/>
    </xf>
    <xf numFmtId="164" fontId="2" fillId="0" borderId="3" xfId="1" quotePrefix="1" applyNumberFormat="1" applyFont="1" applyFill="1" applyBorder="1" applyAlignment="1">
      <alignment horizontal="center"/>
    </xf>
    <xf numFmtId="0" fontId="2" fillId="2" borderId="10" xfId="1" quotePrefix="1" applyNumberFormat="1" applyFont="1" applyFill="1" applyBorder="1" applyAlignment="1">
      <alignment horizontal="left"/>
    </xf>
    <xf numFmtId="164" fontId="2" fillId="2" borderId="9" xfId="1" quotePrefix="1" applyNumberFormat="1" applyFont="1" applyFill="1" applyBorder="1" applyAlignment="1">
      <alignment horizontal="center"/>
    </xf>
    <xf numFmtId="164" fontId="2" fillId="2" borderId="11" xfId="1" quotePrefix="1" applyNumberFormat="1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9" fontId="2" fillId="0" borderId="11" xfId="0" applyNumberFormat="1" applyFont="1" applyBorder="1"/>
    <xf numFmtId="9" fontId="2" fillId="0" borderId="0" xfId="0" applyNumberFormat="1" applyFont="1" applyAlignment="1">
      <alignment horizontal="left"/>
    </xf>
    <xf numFmtId="164" fontId="2" fillId="0" borderId="0" xfId="1" applyNumberFormat="1" applyFont="1" applyAlignment="1">
      <alignment horizontal="center"/>
    </xf>
    <xf numFmtId="9" fontId="2" fillId="0" borderId="1" xfId="0" applyNumberFormat="1" applyFont="1" applyBorder="1" applyAlignment="1">
      <alignment horizontal="left"/>
    </xf>
    <xf numFmtId="0" fontId="2" fillId="2" borderId="9" xfId="1" quotePrefix="1" applyNumberFormat="1" applyFont="1" applyFill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65" fontId="2" fillId="0" borderId="0" xfId="0" applyNumberFormat="1" applyFont="1"/>
    <xf numFmtId="164" fontId="2" fillId="4" borderId="12" xfId="0" applyNumberFormat="1" applyFont="1" applyFill="1" applyBorder="1"/>
    <xf numFmtId="0" fontId="4" fillId="0" borderId="0" xfId="0" applyFont="1" applyAlignment="1">
      <alignment horizontal="left" wrapText="1"/>
    </xf>
    <xf numFmtId="164" fontId="2" fillId="5" borderId="11" xfId="1" applyNumberFormat="1" applyFont="1" applyFill="1" applyBorder="1"/>
    <xf numFmtId="0" fontId="5" fillId="0" borderId="0" xfId="0" applyFont="1"/>
    <xf numFmtId="0" fontId="2" fillId="0" borderId="1" xfId="0" applyFont="1" applyBorder="1"/>
    <xf numFmtId="10" fontId="2" fillId="0" borderId="0" xfId="0" applyNumberFormat="1" applyFont="1"/>
    <xf numFmtId="10" fontId="2" fillId="6" borderId="12" xfId="0" applyNumberFormat="1" applyFont="1" applyFill="1" applyBorder="1"/>
    <xf numFmtId="0" fontId="4" fillId="0" borderId="0" xfId="0" applyFont="1" applyAlignment="1"/>
    <xf numFmtId="0" fontId="2" fillId="0" borderId="0" xfId="0" applyFont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10" fontId="2" fillId="0" borderId="2" xfId="2" applyNumberFormat="1" applyFont="1" applyBorder="1" applyAlignment="1">
      <alignment horizontal="center"/>
    </xf>
    <xf numFmtId="165" fontId="2" fillId="0" borderId="3" xfId="0" applyNumberFormat="1" applyFont="1" applyBorder="1" applyAlignment="1">
      <alignment horizontal="center"/>
    </xf>
    <xf numFmtId="165" fontId="2" fillId="0" borderId="3" xfId="1" applyNumberFormat="1" applyFont="1" applyBorder="1" applyAlignment="1">
      <alignment horizontal="center"/>
    </xf>
    <xf numFmtId="10" fontId="2" fillId="0" borderId="4" xfId="2" applyNumberFormat="1" applyFont="1" applyBorder="1" applyAlignment="1">
      <alignment horizontal="center"/>
    </xf>
    <xf numFmtId="165" fontId="2" fillId="0" borderId="5" xfId="0" applyNumberFormat="1" applyFont="1" applyBorder="1" applyAlignment="1">
      <alignment horizontal="center"/>
    </xf>
    <xf numFmtId="0" fontId="2" fillId="6" borderId="10" xfId="0" applyFont="1" applyFill="1" applyBorder="1"/>
    <xf numFmtId="0" fontId="2" fillId="6" borderId="11" xfId="0" applyFont="1" applyFill="1" applyBorder="1"/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164" fontId="2" fillId="6" borderId="12" xfId="0" applyNumberFormat="1" applyFont="1" applyFill="1" applyBorder="1"/>
    <xf numFmtId="0" fontId="4" fillId="0" borderId="0" xfId="0" applyFont="1"/>
    <xf numFmtId="0" fontId="2" fillId="0" borderId="0" xfId="0" quotePrefix="1" applyFont="1" applyAlignment="1">
      <alignment horizontal="right"/>
    </xf>
    <xf numFmtId="164" fontId="4" fillId="0" borderId="0" xfId="1" applyNumberFormat="1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'28'!$Z$2</c:f>
              <c:strCache>
                <c:ptCount val="1"/>
                <c:pt idx="0">
                  <c:v>EFN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'28'!$Y$3:$Y$6</c:f>
              <c:numCache>
                <c:formatCode>0.00%</c:formatCode>
                <c:ptCount val="4"/>
                <c:pt idx="0">
                  <c:v>0.2</c:v>
                </c:pt>
                <c:pt idx="1">
                  <c:v>0.26918141197795847</c:v>
                </c:pt>
                <c:pt idx="2">
                  <c:v>0.5</c:v>
                </c:pt>
                <c:pt idx="3">
                  <c:v>0.55000000000000004</c:v>
                </c:pt>
              </c:numCache>
            </c:numRef>
          </c:cat>
          <c:val>
            <c:numRef>
              <c:f>'28'!$Z$3:$Z$6</c:f>
              <c:numCache>
                <c:formatCode>#,##0_ ;[Red]\-#,##0\ </c:formatCode>
                <c:ptCount val="4"/>
                <c:pt idx="0">
                  <c:v>-24812.277643021429</c:v>
                </c:pt>
                <c:pt idx="1">
                  <c:v>0</c:v>
                </c:pt>
                <c:pt idx="2">
                  <c:v>82784.301843937603</c:v>
                </c:pt>
                <c:pt idx="3">
                  <c:v>100717.06509176421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F5-4528-9F42-51D9E673C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8374928"/>
        <c:axId val="808369168"/>
      </c:lineChart>
      <c:catAx>
        <c:axId val="808374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r>
                  <a:rPr lang="en-US"/>
                  <a:t>Growth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n-US"/>
          </a:p>
        </c:txPr>
        <c:crossAx val="808369168"/>
        <c:crosses val="autoZero"/>
        <c:auto val="1"/>
        <c:lblAlgn val="ctr"/>
        <c:lblOffset val="100"/>
        <c:noMultiLvlLbl val="0"/>
      </c:catAx>
      <c:valAx>
        <c:axId val="808369168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r>
                  <a:rPr lang="en-US"/>
                  <a:t>External FInancing Needed (EFN)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en-US"/>
            </a:p>
          </c:txPr>
        </c:title>
        <c:numFmt formatCode="#,##0_ ;[Red]\-#,##0\ " sourceLinked="1"/>
        <c:majorTickMark val="none"/>
        <c:minorTickMark val="none"/>
        <c:tickLblPos val="nextTo"/>
        <c:crossAx val="808374928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Verdana" panose="020B0604030504040204" pitchFamily="34" charset="0"/>
          <a:ea typeface="Verdana" panose="020B060403050404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6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'27'!$Z$2</c:f>
              <c:strCache>
                <c:ptCount val="1"/>
                <c:pt idx="0">
                  <c:v>EFN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'27'!$Y$3:$Y$6</c:f>
              <c:numCache>
                <c:formatCode>0.00%</c:formatCode>
                <c:ptCount val="4"/>
                <c:pt idx="0">
                  <c:v>0.16087775282170655</c:v>
                </c:pt>
                <c:pt idx="1">
                  <c:v>0.2</c:v>
                </c:pt>
                <c:pt idx="2">
                  <c:v>0.35</c:v>
                </c:pt>
                <c:pt idx="3">
                  <c:v>0.4</c:v>
                </c:pt>
              </c:numCache>
            </c:numRef>
          </c:cat>
          <c:val>
            <c:numRef>
              <c:f>'27'!$Z$3:$Z$6</c:f>
              <c:numCache>
                <c:formatCode>#,##0_ ;[Red]\-#,##0\ </c:formatCode>
                <c:ptCount val="4"/>
                <c:pt idx="0">
                  <c:v>0</c:v>
                </c:pt>
                <c:pt idx="1">
                  <c:v>13682.52103773586</c:v>
                </c:pt>
                <c:pt idx="2">
                  <c:v>66143.161816037726</c:v>
                </c:pt>
                <c:pt idx="3">
                  <c:v>83630.04207547172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15-42A7-8B13-0E992C5F10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8374928"/>
        <c:axId val="808369168"/>
      </c:lineChart>
      <c:catAx>
        <c:axId val="808374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r>
                  <a:rPr lang="en-US"/>
                  <a:t>Growth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n-US"/>
          </a:p>
        </c:txPr>
        <c:crossAx val="808369168"/>
        <c:crosses val="autoZero"/>
        <c:auto val="1"/>
        <c:lblAlgn val="ctr"/>
        <c:lblOffset val="100"/>
        <c:noMultiLvlLbl val="0"/>
      </c:catAx>
      <c:valAx>
        <c:axId val="808369168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r>
                  <a:rPr lang="en-US"/>
                  <a:t>External FInancing Needed (EFN)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en-US"/>
            </a:p>
          </c:txPr>
        </c:title>
        <c:numFmt formatCode="#,##0_ ;[Red]\-#,##0\ " sourceLinked="1"/>
        <c:majorTickMark val="none"/>
        <c:minorTickMark val="none"/>
        <c:tickLblPos val="nextTo"/>
        <c:crossAx val="808374928"/>
        <c:crosses val="autoZero"/>
        <c:crossBetween val="between"/>
      </c:valAx>
      <c:spPr>
        <a:noFill/>
        <a:ln>
          <a:solidFill>
            <a:schemeClr val="bg1">
              <a:lumMod val="85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50">
          <a:latin typeface="Verdana" panose="020B0604030504040204" pitchFamily="34" charset="0"/>
          <a:ea typeface="Verdana" panose="020B060403050404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288725</xdr:colOff>
      <xdr:row>7</xdr:row>
      <xdr:rowOff>94356</xdr:rowOff>
    </xdr:from>
    <xdr:to>
      <xdr:col>27</xdr:col>
      <xdr:colOff>74413</xdr:colOff>
      <xdr:row>29</xdr:row>
      <xdr:rowOff>143867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E66284-D49D-4214-BDB6-8A59E636CE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288725</xdr:colOff>
      <xdr:row>7</xdr:row>
      <xdr:rowOff>94356</xdr:rowOff>
    </xdr:from>
    <xdr:to>
      <xdr:col>27</xdr:col>
      <xdr:colOff>74413</xdr:colOff>
      <xdr:row>28</xdr:row>
      <xdr:rowOff>114101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78B9D0-1915-3EBD-B4C1-8B4C73A677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02D82-4C20-48B3-8549-AAB135A7BFCF}">
  <dimension ref="B2:AH75"/>
  <sheetViews>
    <sheetView showGridLines="0" tabSelected="1" topLeftCell="N42" zoomScale="96" zoomScaleNormal="96" workbookViewId="0">
      <selection activeCell="P73" sqref="P73"/>
    </sheetView>
  </sheetViews>
  <sheetFormatPr defaultRowHeight="11.25" x14ac:dyDescent="0.3"/>
  <cols>
    <col min="1" max="1" width="6.06640625" style="1" customWidth="1"/>
    <col min="2" max="2" width="27.19921875" style="1" bestFit="1" customWidth="1"/>
    <col min="3" max="3" width="13.796875" style="2" customWidth="1"/>
    <col min="4" max="4" width="13.796875" style="1" customWidth="1"/>
    <col min="5" max="5" width="13.796875" style="20" customWidth="1"/>
    <col min="6" max="6" width="9.06640625" style="1"/>
    <col min="7" max="7" width="27.6640625" style="1" bestFit="1" customWidth="1"/>
    <col min="8" max="10" width="13.796875" style="1" customWidth="1"/>
    <col min="11" max="11" width="9.06640625" style="1"/>
    <col min="12" max="12" width="27.6640625" style="1" bestFit="1" customWidth="1"/>
    <col min="13" max="15" width="13.796875" style="1" customWidth="1"/>
    <col min="16" max="16" width="9.06640625" style="1"/>
    <col min="17" max="17" width="27.6640625" style="1" bestFit="1" customWidth="1"/>
    <col min="18" max="19" width="13.796875" style="1" customWidth="1"/>
    <col min="20" max="20" width="13.796875" style="61" customWidth="1"/>
    <col min="21" max="24" width="9.06640625" style="1"/>
    <col min="25" max="25" width="14.53125" style="50" customWidth="1"/>
    <col min="26" max="26" width="11.86328125" style="50" customWidth="1"/>
    <col min="27" max="30" width="9.06640625" style="1"/>
    <col min="31" max="31" width="27.6640625" style="1" bestFit="1" customWidth="1"/>
    <col min="32" max="33" width="13.796875" style="1" customWidth="1"/>
    <col min="34" max="16384" width="9.06640625" style="1"/>
  </cols>
  <sheetData>
    <row r="2" spans="2:34" x14ac:dyDescent="0.3">
      <c r="B2" s="1" t="s">
        <v>0</v>
      </c>
      <c r="G2" s="1" t="s">
        <v>0</v>
      </c>
      <c r="H2" s="2"/>
      <c r="J2" s="20"/>
      <c r="L2" s="1" t="s">
        <v>0</v>
      </c>
      <c r="M2" s="2"/>
      <c r="O2" s="20"/>
      <c r="Q2" s="1" t="s">
        <v>0</v>
      </c>
      <c r="R2" s="2"/>
      <c r="T2" s="60"/>
      <c r="Y2" s="51" t="s">
        <v>47</v>
      </c>
      <c r="Z2" s="52" t="s">
        <v>48</v>
      </c>
      <c r="AE2" s="1" t="s">
        <v>0</v>
      </c>
      <c r="AF2" s="2" t="s">
        <v>64</v>
      </c>
    </row>
    <row r="3" spans="2:34" x14ac:dyDescent="0.3">
      <c r="H3" s="2"/>
      <c r="J3" s="20"/>
      <c r="M3" s="2"/>
      <c r="O3" s="20"/>
      <c r="R3" s="2"/>
      <c r="T3" s="60"/>
      <c r="Y3" s="53">
        <f>D21</f>
        <v>0.2</v>
      </c>
      <c r="Z3" s="54">
        <f>D61</f>
        <v>-24812.277643021429</v>
      </c>
      <c r="AF3" s="2" t="s">
        <v>65</v>
      </c>
    </row>
    <row r="4" spans="2:34" x14ac:dyDescent="0.3">
      <c r="B4" s="31" t="s">
        <v>17</v>
      </c>
      <c r="C4" s="32" t="s">
        <v>13</v>
      </c>
      <c r="D4" s="33" t="s">
        <v>15</v>
      </c>
      <c r="G4" s="31" t="s">
        <v>17</v>
      </c>
      <c r="H4" s="32" t="s">
        <v>13</v>
      </c>
      <c r="I4" s="33" t="s">
        <v>15</v>
      </c>
      <c r="J4" s="20"/>
      <c r="L4" s="31" t="s">
        <v>17</v>
      </c>
      <c r="M4" s="32" t="s">
        <v>13</v>
      </c>
      <c r="N4" s="33" t="s">
        <v>15</v>
      </c>
      <c r="O4" s="20"/>
      <c r="Q4" s="31" t="s">
        <v>17</v>
      </c>
      <c r="R4" s="32" t="s">
        <v>13</v>
      </c>
      <c r="S4" s="33" t="s">
        <v>15</v>
      </c>
      <c r="T4" s="20"/>
      <c r="Y4" s="53">
        <f>S21</f>
        <v>0.26918141197795847</v>
      </c>
      <c r="Z4" s="55">
        <f>S61</f>
        <v>0</v>
      </c>
      <c r="AE4" s="31" t="s">
        <v>17</v>
      </c>
      <c r="AF4" s="32" t="s">
        <v>13</v>
      </c>
      <c r="AG4" s="33" t="s">
        <v>15</v>
      </c>
    </row>
    <row r="5" spans="2:34" x14ac:dyDescent="0.3">
      <c r="B5" s="28"/>
      <c r="C5" s="29"/>
      <c r="D5" s="30"/>
      <c r="G5" s="28"/>
      <c r="H5" s="29"/>
      <c r="I5" s="30"/>
      <c r="J5" s="20"/>
      <c r="L5" s="28"/>
      <c r="M5" s="29"/>
      <c r="N5" s="30"/>
      <c r="O5" s="20"/>
      <c r="Q5" s="28"/>
      <c r="R5" s="29"/>
      <c r="S5" s="30"/>
      <c r="T5" s="20"/>
      <c r="Y5" s="53">
        <f>I21</f>
        <v>0.5</v>
      </c>
      <c r="Z5" s="54">
        <f>I61</f>
        <v>82784.301843937603</v>
      </c>
      <c r="AE5" s="28"/>
      <c r="AF5" s="29"/>
      <c r="AG5" s="30"/>
    </row>
    <row r="6" spans="2:34" x14ac:dyDescent="0.3">
      <c r="B6" s="8" t="s">
        <v>1</v>
      </c>
      <c r="C6" s="9">
        <v>686530</v>
      </c>
      <c r="D6" s="10">
        <f>(1+$D$21)*C6</f>
        <v>823836</v>
      </c>
      <c r="G6" s="8" t="s">
        <v>1</v>
      </c>
      <c r="H6" s="9">
        <v>686530</v>
      </c>
      <c r="I6" s="10">
        <f>(1+$I$21)*H6</f>
        <v>1029795</v>
      </c>
      <c r="J6" s="20"/>
      <c r="L6" s="8" t="s">
        <v>1</v>
      </c>
      <c r="M6" s="9">
        <v>686530</v>
      </c>
      <c r="N6" s="10">
        <f>(1+$N$21)*M6</f>
        <v>1064121.5</v>
      </c>
      <c r="O6" s="20"/>
      <c r="Q6" s="8" t="s">
        <v>1</v>
      </c>
      <c r="R6" s="9">
        <v>686530</v>
      </c>
      <c r="S6" s="10">
        <f>(1+$S$21)*R6</f>
        <v>871331.11476522789</v>
      </c>
      <c r="T6" s="20"/>
      <c r="Y6" s="56">
        <f>N21</f>
        <v>0.55000000000000004</v>
      </c>
      <c r="Z6" s="57">
        <f>N61</f>
        <v>100717.06509176421</v>
      </c>
      <c r="AE6" s="8" t="s">
        <v>1</v>
      </c>
      <c r="AF6" s="9">
        <v>686530</v>
      </c>
      <c r="AG6" s="10">
        <f>(1+$AG$21)*AF6</f>
        <v>865826.37230783456</v>
      </c>
    </row>
    <row r="7" spans="2:34" x14ac:dyDescent="0.3">
      <c r="B7" s="8" t="s">
        <v>2</v>
      </c>
      <c r="C7" s="9">
        <v>554420</v>
      </c>
      <c r="D7" s="10">
        <f t="shared" ref="D7:D8" si="0">(1+$D$21)*C7</f>
        <v>665304</v>
      </c>
      <c r="G7" s="8" t="s">
        <v>2</v>
      </c>
      <c r="H7" s="9">
        <v>554420</v>
      </c>
      <c r="I7" s="10">
        <f t="shared" ref="I7:I8" si="1">(1+$I$21)*H7</f>
        <v>831630</v>
      </c>
      <c r="J7" s="20"/>
      <c r="L7" s="8" t="s">
        <v>2</v>
      </c>
      <c r="M7" s="9">
        <v>554420</v>
      </c>
      <c r="N7" s="10">
        <f t="shared" ref="N7:N8" si="2">(1+$N$21)*M7</f>
        <v>859351</v>
      </c>
      <c r="O7" s="20"/>
      <c r="Q7" s="8" t="s">
        <v>2</v>
      </c>
      <c r="R7" s="9">
        <v>554420</v>
      </c>
      <c r="S7" s="10">
        <f t="shared" ref="S7:S8" si="3">(1+$S$21)*R7</f>
        <v>703659.55842881976</v>
      </c>
      <c r="T7" s="20"/>
      <c r="AE7" s="8" t="s">
        <v>2</v>
      </c>
      <c r="AF7" s="9">
        <v>554420</v>
      </c>
      <c r="AG7" s="10">
        <f>(1+$AG$21)*AF7</f>
        <v>699214.10183809837</v>
      </c>
    </row>
    <row r="8" spans="2:34" x14ac:dyDescent="0.3">
      <c r="B8" s="11" t="s">
        <v>3</v>
      </c>
      <c r="C8" s="3">
        <v>14020</v>
      </c>
      <c r="D8" s="12">
        <f t="shared" si="0"/>
        <v>16824</v>
      </c>
      <c r="G8" s="11" t="s">
        <v>3</v>
      </c>
      <c r="H8" s="3">
        <v>14020</v>
      </c>
      <c r="I8" s="12">
        <f t="shared" si="1"/>
        <v>21030</v>
      </c>
      <c r="J8" s="20"/>
      <c r="L8" s="11" t="s">
        <v>3</v>
      </c>
      <c r="M8" s="3">
        <v>14020</v>
      </c>
      <c r="N8" s="12">
        <f t="shared" si="2"/>
        <v>21731</v>
      </c>
      <c r="O8" s="20"/>
      <c r="Q8" s="11" t="s">
        <v>3</v>
      </c>
      <c r="R8" s="3">
        <v>14020</v>
      </c>
      <c r="S8" s="12">
        <f t="shared" si="3"/>
        <v>17793.923395930979</v>
      </c>
      <c r="T8" s="20"/>
      <c r="AE8" s="11" t="s">
        <v>3</v>
      </c>
      <c r="AF8" s="3">
        <v>14020</v>
      </c>
      <c r="AG8" s="12">
        <f t="shared" ref="AG8" si="4">(1+$AG$21)*AF8</f>
        <v>17681.508076494603</v>
      </c>
    </row>
    <row r="9" spans="2:34" x14ac:dyDescent="0.3">
      <c r="B9" s="8" t="s">
        <v>4</v>
      </c>
      <c r="C9" s="9">
        <f>C6-C7-C8</f>
        <v>118090</v>
      </c>
      <c r="D9" s="13">
        <f>D6-D7-D8</f>
        <v>141708</v>
      </c>
      <c r="G9" s="8" t="s">
        <v>4</v>
      </c>
      <c r="H9" s="9">
        <f>H6-H7-H8</f>
        <v>118090</v>
      </c>
      <c r="I9" s="13">
        <f>I6-I7-I8</f>
        <v>177135</v>
      </c>
      <c r="J9" s="20"/>
      <c r="L9" s="8" t="s">
        <v>4</v>
      </c>
      <c r="M9" s="9">
        <f>M6-M7-M8</f>
        <v>118090</v>
      </c>
      <c r="N9" s="13">
        <f>N6-N7-N8</f>
        <v>183039.5</v>
      </c>
      <c r="O9" s="20"/>
      <c r="Q9" s="8" t="s">
        <v>4</v>
      </c>
      <c r="R9" s="9">
        <f>R6-R7-R8</f>
        <v>118090</v>
      </c>
      <c r="S9" s="13">
        <f>S6-S7-S8</f>
        <v>149877.63294047717</v>
      </c>
      <c r="T9" s="20"/>
      <c r="AE9" s="8" t="s">
        <v>4</v>
      </c>
      <c r="AF9" s="9">
        <f>AF6-AF7-AF8</f>
        <v>118090</v>
      </c>
      <c r="AG9" s="13">
        <f>AG6-AG7-AG8</f>
        <v>148930.76239324157</v>
      </c>
    </row>
    <row r="10" spans="2:34" x14ac:dyDescent="0.3">
      <c r="B10" s="11" t="s">
        <v>5</v>
      </c>
      <c r="C10" s="3">
        <v>12090</v>
      </c>
      <c r="D10" s="12">
        <f>C10</f>
        <v>12090</v>
      </c>
      <c r="E10" s="20" t="s">
        <v>16</v>
      </c>
      <c r="G10" s="11" t="s">
        <v>5</v>
      </c>
      <c r="H10" s="3">
        <v>12090</v>
      </c>
      <c r="I10" s="12">
        <f>H10</f>
        <v>12090</v>
      </c>
      <c r="J10" s="20" t="s">
        <v>16</v>
      </c>
      <c r="L10" s="11" t="s">
        <v>5</v>
      </c>
      <c r="M10" s="3">
        <v>12090</v>
      </c>
      <c r="N10" s="12">
        <f>M10</f>
        <v>12090</v>
      </c>
      <c r="O10" s="20" t="s">
        <v>16</v>
      </c>
      <c r="Q10" s="11" t="s">
        <v>5</v>
      </c>
      <c r="R10" s="3">
        <v>12090</v>
      </c>
      <c r="S10" s="12">
        <f>R10</f>
        <v>12090</v>
      </c>
      <c r="T10" s="20" t="s">
        <v>16</v>
      </c>
      <c r="AE10" s="11" t="s">
        <v>5</v>
      </c>
      <c r="AF10" s="3">
        <v>12090</v>
      </c>
      <c r="AG10" s="12">
        <f>(1+$AG$21)*AF10</f>
        <v>15247.463098774591</v>
      </c>
      <c r="AH10" s="60" t="s">
        <v>63</v>
      </c>
    </row>
    <row r="11" spans="2:34" x14ac:dyDescent="0.3">
      <c r="B11" s="8" t="s">
        <v>6</v>
      </c>
      <c r="C11" s="9">
        <v>106000</v>
      </c>
      <c r="D11" s="13">
        <f>D9-D10</f>
        <v>129618</v>
      </c>
      <c r="G11" s="8" t="s">
        <v>6</v>
      </c>
      <c r="H11" s="9">
        <v>106000</v>
      </c>
      <c r="I11" s="13">
        <f>I9-I10</f>
        <v>165045</v>
      </c>
      <c r="J11" s="20"/>
      <c r="L11" s="8" t="s">
        <v>6</v>
      </c>
      <c r="M11" s="9">
        <v>106000</v>
      </c>
      <c r="N11" s="13">
        <f>N9-N10</f>
        <v>170949.5</v>
      </c>
      <c r="O11" s="20"/>
      <c r="Q11" s="8" t="s">
        <v>6</v>
      </c>
      <c r="R11" s="9">
        <v>106000</v>
      </c>
      <c r="S11" s="13">
        <f>S9-S10</f>
        <v>137787.63294047717</v>
      </c>
      <c r="T11" s="20"/>
      <c r="AE11" s="8" t="s">
        <v>6</v>
      </c>
      <c r="AF11" s="9">
        <v>106000</v>
      </c>
      <c r="AG11" s="13">
        <f>AG9-AG10</f>
        <v>133683.29929446697</v>
      </c>
    </row>
    <row r="12" spans="2:34" x14ac:dyDescent="0.3">
      <c r="B12" s="11" t="s">
        <v>7</v>
      </c>
      <c r="C12" s="3">
        <v>22260</v>
      </c>
      <c r="D12" s="14">
        <f>$C$18*D11</f>
        <v>27219.78</v>
      </c>
      <c r="G12" s="11" t="s">
        <v>7</v>
      </c>
      <c r="H12" s="3">
        <v>22260</v>
      </c>
      <c r="I12" s="14">
        <f>$H$18*I11</f>
        <v>34659.449999999997</v>
      </c>
      <c r="J12" s="20"/>
      <c r="L12" s="11" t="s">
        <v>7</v>
      </c>
      <c r="M12" s="3">
        <v>22260</v>
      </c>
      <c r="N12" s="14">
        <f>$H$18*N11</f>
        <v>35899.394999999997</v>
      </c>
      <c r="O12" s="20"/>
      <c r="Q12" s="11" t="s">
        <v>7</v>
      </c>
      <c r="R12" s="3">
        <v>22260</v>
      </c>
      <c r="S12" s="14">
        <f>$H$18*S11</f>
        <v>28935.402917500203</v>
      </c>
      <c r="T12" s="20"/>
      <c r="AE12" s="11" t="s">
        <v>7</v>
      </c>
      <c r="AF12" s="3">
        <v>22260</v>
      </c>
      <c r="AG12" s="14">
        <f>$H$18*AG11</f>
        <v>28073.492851838062</v>
      </c>
    </row>
    <row r="13" spans="2:34" ht="11.65" thickBot="1" x14ac:dyDescent="0.35">
      <c r="B13" s="15" t="s">
        <v>8</v>
      </c>
      <c r="C13" s="16">
        <f>C11-C12</f>
        <v>83740</v>
      </c>
      <c r="D13" s="17">
        <f>D11-D12</f>
        <v>102398.22</v>
      </c>
      <c r="G13" s="15" t="s">
        <v>8</v>
      </c>
      <c r="H13" s="16">
        <f>H11-H12</f>
        <v>83740</v>
      </c>
      <c r="I13" s="17">
        <f>I11-I12</f>
        <v>130385.55</v>
      </c>
      <c r="J13" s="20"/>
      <c r="L13" s="15" t="s">
        <v>8</v>
      </c>
      <c r="M13" s="16">
        <f>M11-M12</f>
        <v>83740</v>
      </c>
      <c r="N13" s="17">
        <f>N11-N12</f>
        <v>135050.10500000001</v>
      </c>
      <c r="O13" s="20"/>
      <c r="Q13" s="15" t="s">
        <v>8</v>
      </c>
      <c r="R13" s="16">
        <f>R11-R12</f>
        <v>83740</v>
      </c>
      <c r="S13" s="17">
        <f>S11-S12</f>
        <v>108852.23002297696</v>
      </c>
      <c r="T13" s="20"/>
      <c r="AE13" s="15" t="s">
        <v>8</v>
      </c>
      <c r="AF13" s="16">
        <f>AF11-AF12</f>
        <v>83740</v>
      </c>
      <c r="AG13" s="17">
        <f>AG11-AG12</f>
        <v>105609.80644262891</v>
      </c>
    </row>
    <row r="14" spans="2:34" ht="11.65" thickTop="1" x14ac:dyDescent="0.3">
      <c r="H14" s="2"/>
      <c r="J14" s="20"/>
      <c r="M14" s="2"/>
      <c r="O14" s="20"/>
      <c r="R14" s="2"/>
      <c r="T14" s="20"/>
      <c r="AF14" s="2"/>
    </row>
    <row r="15" spans="2:34" x14ac:dyDescent="0.3">
      <c r="B15" s="1" t="s">
        <v>9</v>
      </c>
      <c r="C15" s="2">
        <v>27475</v>
      </c>
      <c r="D15" s="2">
        <f>D13*C19</f>
        <v>33596.741037735854</v>
      </c>
      <c r="G15" s="1" t="s">
        <v>9</v>
      </c>
      <c r="H15" s="2">
        <v>27475</v>
      </c>
      <c r="I15" s="2">
        <f>I13*H19</f>
        <v>42779.352594339623</v>
      </c>
      <c r="J15" s="20"/>
      <c r="L15" s="1" t="s">
        <v>9</v>
      </c>
      <c r="M15" s="2">
        <v>27475</v>
      </c>
      <c r="N15" s="2">
        <f>N13*M19</f>
        <v>44309.787853773589</v>
      </c>
      <c r="O15" s="20"/>
      <c r="Q15" s="1" t="s">
        <v>9</v>
      </c>
      <c r="R15" s="2">
        <v>27475</v>
      </c>
      <c r="S15" s="2">
        <f>S13*R19</f>
        <v>35714.294481505756</v>
      </c>
      <c r="T15" s="20"/>
      <c r="AE15" s="1" t="s">
        <v>9</v>
      </c>
      <c r="AF15" s="2">
        <v>27475</v>
      </c>
      <c r="AG15" s="2">
        <f>AG13*AF19</f>
        <v>34650.458944485661</v>
      </c>
    </row>
    <row r="16" spans="2:34" x14ac:dyDescent="0.3">
      <c r="B16" s="1" t="s">
        <v>10</v>
      </c>
      <c r="C16" s="2">
        <f>C13-C15</f>
        <v>56265</v>
      </c>
      <c r="D16" s="2">
        <f>D13-D15</f>
        <v>68801.47896226414</v>
      </c>
      <c r="G16" s="1" t="s">
        <v>10</v>
      </c>
      <c r="H16" s="2">
        <f>H13-H15</f>
        <v>56265</v>
      </c>
      <c r="I16" s="2">
        <f>I13-I15</f>
        <v>87606.197405660379</v>
      </c>
      <c r="J16" s="20"/>
      <c r="L16" s="1" t="s">
        <v>10</v>
      </c>
      <c r="M16" s="2">
        <f>M13-M15</f>
        <v>56265</v>
      </c>
      <c r="N16" s="2">
        <f>N13-N15</f>
        <v>90740.317146226414</v>
      </c>
      <c r="O16" s="20"/>
      <c r="Q16" s="1" t="s">
        <v>10</v>
      </c>
      <c r="R16" s="2">
        <f>R13-R15</f>
        <v>56265</v>
      </c>
      <c r="S16" s="2">
        <f>S13-S15</f>
        <v>73137.935541471204</v>
      </c>
      <c r="T16" s="20"/>
      <c r="AE16" s="1" t="s">
        <v>10</v>
      </c>
      <c r="AF16" s="2">
        <f>AF13-AF15</f>
        <v>56265</v>
      </c>
      <c r="AG16" s="2">
        <f>AG13-AG15</f>
        <v>70959.347498143237</v>
      </c>
    </row>
    <row r="17" spans="2:34" x14ac:dyDescent="0.3">
      <c r="H17" s="2"/>
      <c r="J17" s="20"/>
      <c r="M17" s="2"/>
      <c r="O17" s="20"/>
      <c r="R17" s="2"/>
      <c r="T17" s="20"/>
      <c r="AF17" s="2"/>
    </row>
    <row r="18" spans="2:34" x14ac:dyDescent="0.3">
      <c r="B18" s="1" t="s">
        <v>12</v>
      </c>
      <c r="C18" s="5">
        <f>C12/C11</f>
        <v>0.21</v>
      </c>
      <c r="D18" s="5">
        <f>D12/D11</f>
        <v>0.21</v>
      </c>
      <c r="E18" s="20" t="s">
        <v>16</v>
      </c>
      <c r="G18" s="1" t="s">
        <v>12</v>
      </c>
      <c r="H18" s="5">
        <f>H12/H11</f>
        <v>0.21</v>
      </c>
      <c r="I18" s="5">
        <f>I12/I11</f>
        <v>0.21</v>
      </c>
      <c r="J18" s="20" t="s">
        <v>16</v>
      </c>
      <c r="L18" s="1" t="s">
        <v>12</v>
      </c>
      <c r="M18" s="5">
        <f>M12/M11</f>
        <v>0.21</v>
      </c>
      <c r="N18" s="5">
        <f>N12/N11</f>
        <v>0.21</v>
      </c>
      <c r="O18" s="20" t="s">
        <v>16</v>
      </c>
      <c r="Q18" s="1" t="s">
        <v>12</v>
      </c>
      <c r="R18" s="5">
        <f>R12/R11</f>
        <v>0.21</v>
      </c>
      <c r="S18" s="5">
        <f>S12/S11</f>
        <v>0.21</v>
      </c>
      <c r="T18" s="20" t="s">
        <v>16</v>
      </c>
      <c r="AE18" s="1" t="s">
        <v>12</v>
      </c>
      <c r="AF18" s="5">
        <f>AF12/AF11</f>
        <v>0.21</v>
      </c>
      <c r="AG18" s="5">
        <f>AG12/AG11</f>
        <v>0.21</v>
      </c>
    </row>
    <row r="19" spans="2:34" x14ac:dyDescent="0.3">
      <c r="B19" s="1" t="s">
        <v>11</v>
      </c>
      <c r="C19" s="5">
        <f>C15/C13</f>
        <v>0.32809887747790784</v>
      </c>
      <c r="D19" s="5">
        <f>D15/D13</f>
        <v>0.32809887747790784</v>
      </c>
      <c r="E19" s="20" t="s">
        <v>16</v>
      </c>
      <c r="G19" s="1" t="s">
        <v>11</v>
      </c>
      <c r="H19" s="5">
        <f>H15/H13</f>
        <v>0.32809887747790784</v>
      </c>
      <c r="I19" s="5">
        <f>I15/I13</f>
        <v>0.32809887747790784</v>
      </c>
      <c r="J19" s="20" t="s">
        <v>16</v>
      </c>
      <c r="L19" s="1" t="s">
        <v>11</v>
      </c>
      <c r="M19" s="5">
        <f>M15/M13</f>
        <v>0.32809887747790784</v>
      </c>
      <c r="N19" s="5">
        <f>N15/N13</f>
        <v>0.32809887747790784</v>
      </c>
      <c r="O19" s="20" t="s">
        <v>16</v>
      </c>
      <c r="Q19" s="1" t="s">
        <v>11</v>
      </c>
      <c r="R19" s="5">
        <f>R15/R13</f>
        <v>0.32809887747790784</v>
      </c>
      <c r="S19" s="5">
        <f>S15/S13</f>
        <v>0.32809887747790784</v>
      </c>
      <c r="T19" s="20" t="s">
        <v>16</v>
      </c>
      <c r="AE19" s="1" t="s">
        <v>11</v>
      </c>
      <c r="AF19" s="5">
        <f>AF15/AF13</f>
        <v>0.32809887747790784</v>
      </c>
      <c r="AG19" s="5">
        <f>AG15/AG13</f>
        <v>0.32809887747790784</v>
      </c>
    </row>
    <row r="20" spans="2:34" x14ac:dyDescent="0.3">
      <c r="H20" s="2"/>
      <c r="J20" s="20"/>
      <c r="M20" s="2"/>
      <c r="O20" s="20"/>
      <c r="R20" s="2"/>
      <c r="T20" s="20"/>
      <c r="AF20" s="2"/>
    </row>
    <row r="21" spans="2:34" x14ac:dyDescent="0.3">
      <c r="B21" s="1" t="s">
        <v>14</v>
      </c>
      <c r="D21" s="4">
        <v>0.2</v>
      </c>
      <c r="G21" s="1" t="s">
        <v>14</v>
      </c>
      <c r="H21" s="2"/>
      <c r="I21" s="4">
        <f>D21+30%</f>
        <v>0.5</v>
      </c>
      <c r="J21" s="20"/>
      <c r="L21" s="1" t="s">
        <v>14</v>
      </c>
      <c r="M21" s="2"/>
      <c r="N21" s="4">
        <f>D21+35%</f>
        <v>0.55000000000000004</v>
      </c>
      <c r="O21" s="20"/>
      <c r="Q21" s="1" t="s">
        <v>14</v>
      </c>
      <c r="R21" s="2"/>
      <c r="S21" s="48">
        <v>0.26918141197795847</v>
      </c>
      <c r="T21" s="20"/>
      <c r="AE21" s="1" t="s">
        <v>14</v>
      </c>
      <c r="AF21" s="2"/>
      <c r="AG21" s="48">
        <v>0.2611632008911986</v>
      </c>
    </row>
    <row r="22" spans="2:34" x14ac:dyDescent="0.3">
      <c r="E22" s="60"/>
      <c r="H22" s="2"/>
      <c r="J22" s="60"/>
      <c r="M22" s="2"/>
      <c r="N22" s="4"/>
      <c r="O22" s="20"/>
      <c r="R22" s="2"/>
      <c r="T22" s="20"/>
      <c r="AF22" s="2"/>
      <c r="AG22" s="2"/>
    </row>
    <row r="23" spans="2:34" x14ac:dyDescent="0.3">
      <c r="B23" s="1" t="s">
        <v>41</v>
      </c>
      <c r="C23" s="5">
        <f>(C50+C52)/C57</f>
        <v>0.71586831306012033</v>
      </c>
      <c r="D23" s="5">
        <f>(D50+D52)/D57</f>
        <v>0.71586831306012022</v>
      </c>
      <c r="E23" s="60" t="s">
        <v>16</v>
      </c>
      <c r="G23" s="1" t="s">
        <v>41</v>
      </c>
      <c r="H23" s="5">
        <f>(H50+H52)/H57</f>
        <v>0.71586831306012033</v>
      </c>
      <c r="I23" s="5">
        <f>(I50+I52)/I57</f>
        <v>0.71586831306012033</v>
      </c>
      <c r="J23" s="60" t="s">
        <v>16</v>
      </c>
      <c r="L23" s="1" t="s">
        <v>41</v>
      </c>
      <c r="M23" s="5">
        <f>(M50+M52)/M57</f>
        <v>0.71586831306012033</v>
      </c>
      <c r="N23" s="5">
        <f>(N50+N52)/N57</f>
        <v>0.71586831306012033</v>
      </c>
      <c r="O23" s="60" t="s">
        <v>16</v>
      </c>
      <c r="Q23" s="1" t="s">
        <v>41</v>
      </c>
      <c r="R23" s="5">
        <f>(R50+R52)/R57</f>
        <v>0.71586831306012033</v>
      </c>
      <c r="S23" s="5">
        <f>(S50+S52)/S57</f>
        <v>0.71586831306012033</v>
      </c>
      <c r="T23" s="20" t="s">
        <v>16</v>
      </c>
      <c r="AE23" s="1" t="s">
        <v>41</v>
      </c>
      <c r="AF23" s="5">
        <f>(AF50+AF52)/AF57</f>
        <v>0.71586831306012033</v>
      </c>
      <c r="AG23" s="5">
        <f>(AG50+AG52)/AG57</f>
        <v>0.71586831306012022</v>
      </c>
      <c r="AH23" s="20" t="s">
        <v>16</v>
      </c>
    </row>
    <row r="24" spans="2:34" x14ac:dyDescent="0.3">
      <c r="B24" s="1" t="s">
        <v>62</v>
      </c>
      <c r="C24" s="5"/>
      <c r="D24" s="5">
        <f>D23-C23</f>
        <v>0</v>
      </c>
      <c r="E24" s="60"/>
      <c r="G24" s="1" t="s">
        <v>62</v>
      </c>
      <c r="H24" s="5"/>
      <c r="I24" s="5">
        <f>I23-H23</f>
        <v>0</v>
      </c>
      <c r="J24" s="60"/>
      <c r="L24" s="1" t="s">
        <v>62</v>
      </c>
      <c r="M24" s="5"/>
      <c r="N24" s="5">
        <f>N23-M23</f>
        <v>0</v>
      </c>
      <c r="O24" s="60"/>
      <c r="Q24" s="1" t="s">
        <v>62</v>
      </c>
      <c r="R24" s="5"/>
      <c r="S24" s="5">
        <f>S23-R23</f>
        <v>0</v>
      </c>
      <c r="T24" s="20"/>
      <c r="AE24" s="1" t="s">
        <v>62</v>
      </c>
      <c r="AF24" s="5"/>
      <c r="AG24" s="5">
        <f>AG23-AF23</f>
        <v>0</v>
      </c>
      <c r="AH24" s="20"/>
    </row>
    <row r="25" spans="2:34" x14ac:dyDescent="0.3">
      <c r="C25" s="5"/>
      <c r="D25" s="5"/>
      <c r="E25" s="60"/>
      <c r="H25" s="5"/>
      <c r="I25" s="5"/>
      <c r="J25" s="60"/>
      <c r="M25" s="5"/>
      <c r="N25" s="5"/>
      <c r="O25" s="60"/>
      <c r="R25" s="5"/>
      <c r="S25" s="5"/>
      <c r="T25" s="20"/>
      <c r="AF25" s="5"/>
      <c r="AG25" s="5"/>
      <c r="AH25" s="20"/>
    </row>
    <row r="26" spans="2:34" x14ac:dyDescent="0.3">
      <c r="B26" s="45" t="s">
        <v>66</v>
      </c>
      <c r="C26" s="5"/>
      <c r="D26" s="5"/>
      <c r="E26" s="60"/>
      <c r="G26" s="45" t="s">
        <v>45</v>
      </c>
      <c r="H26" s="5"/>
      <c r="I26" s="5"/>
      <c r="J26" s="60"/>
      <c r="L26" s="45" t="s">
        <v>66</v>
      </c>
      <c r="M26" s="5"/>
      <c r="N26" s="5"/>
      <c r="O26" s="60"/>
      <c r="Q26" s="45" t="s">
        <v>66</v>
      </c>
      <c r="R26" s="5"/>
      <c r="S26" s="5"/>
      <c r="T26" s="20"/>
      <c r="AE26" s="45" t="s">
        <v>45</v>
      </c>
      <c r="AF26" s="5"/>
      <c r="AG26" s="5"/>
      <c r="AH26" s="20"/>
    </row>
    <row r="27" spans="2:34" x14ac:dyDescent="0.3">
      <c r="B27" s="1" t="s">
        <v>42</v>
      </c>
      <c r="D27" s="6">
        <f>D57</f>
        <v>340506.47896226414</v>
      </c>
      <c r="E27" s="60"/>
      <c r="G27" s="1" t="s">
        <v>42</v>
      </c>
      <c r="H27" s="2"/>
      <c r="I27" s="6">
        <f>I57</f>
        <v>359311.19740566041</v>
      </c>
      <c r="J27" s="60"/>
      <c r="L27" s="1" t="s">
        <v>42</v>
      </c>
      <c r="M27" s="2"/>
      <c r="N27" s="6">
        <f>N57</f>
        <v>362445.31714622641</v>
      </c>
      <c r="O27" s="60"/>
      <c r="Q27" s="1" t="s">
        <v>42</v>
      </c>
      <c r="R27" s="2"/>
      <c r="S27" s="6">
        <f>S57</f>
        <v>344842.93554147123</v>
      </c>
      <c r="T27" s="20"/>
      <c r="AE27" s="1" t="s">
        <v>42</v>
      </c>
      <c r="AF27" s="2"/>
      <c r="AG27" s="6">
        <f>AG59</f>
        <v>587966.89588748582</v>
      </c>
      <c r="AH27" s="20"/>
    </row>
    <row r="28" spans="2:34" x14ac:dyDescent="0.3">
      <c r="B28" s="1" t="s">
        <v>44</v>
      </c>
      <c r="D28" s="6">
        <f>C23*D27</f>
        <v>243757.79868075738</v>
      </c>
      <c r="E28" s="60"/>
      <c r="G28" s="1" t="s">
        <v>44</v>
      </c>
      <c r="H28" s="2"/>
      <c r="I28" s="6">
        <f>H23*I27</f>
        <v>257219.50075040199</v>
      </c>
      <c r="J28" s="60"/>
      <c r="L28" s="1" t="s">
        <v>44</v>
      </c>
      <c r="M28" s="2"/>
      <c r="N28" s="6">
        <f>M23*N27</f>
        <v>259463.11776200941</v>
      </c>
      <c r="O28" s="60"/>
      <c r="Q28" s="1" t="s">
        <v>44</v>
      </c>
      <c r="R28" s="2"/>
      <c r="S28" s="6">
        <f>R23*S27</f>
        <v>246862.13053677283</v>
      </c>
      <c r="T28" s="20"/>
      <c r="AE28" s="1" t="s">
        <v>44</v>
      </c>
      <c r="AF28" s="2"/>
      <c r="AG28" s="6">
        <f>AF23*AG27</f>
        <v>420906.86989416985</v>
      </c>
      <c r="AH28" s="20"/>
    </row>
    <row r="29" spans="2:34" x14ac:dyDescent="0.3">
      <c r="B29" s="46" t="s">
        <v>28</v>
      </c>
      <c r="C29" s="3"/>
      <c r="D29" s="7">
        <f>D50</f>
        <v>77763</v>
      </c>
      <c r="E29" s="60" t="s">
        <v>16</v>
      </c>
      <c r="G29" s="46" t="s">
        <v>28</v>
      </c>
      <c r="H29" s="3"/>
      <c r="I29" s="7">
        <f>I50</f>
        <v>93900</v>
      </c>
      <c r="J29" s="60" t="s">
        <v>16</v>
      </c>
      <c r="L29" s="46" t="s">
        <v>28</v>
      </c>
      <c r="M29" s="3"/>
      <c r="N29" s="7">
        <f>N50</f>
        <v>96589.5</v>
      </c>
      <c r="O29" s="60" t="s">
        <v>16</v>
      </c>
      <c r="Q29" s="46" t="s">
        <v>28</v>
      </c>
      <c r="R29" s="3"/>
      <c r="S29" s="7">
        <f>S50</f>
        <v>85041.500509583115</v>
      </c>
      <c r="T29" s="20" t="s">
        <v>16</v>
      </c>
      <c r="AE29" s="46" t="s">
        <v>27</v>
      </c>
      <c r="AF29" s="3"/>
      <c r="AG29" s="7">
        <f>AF54</f>
        <v>0</v>
      </c>
      <c r="AH29" s="20" t="s">
        <v>16</v>
      </c>
    </row>
    <row r="30" spans="2:34" x14ac:dyDescent="0.3">
      <c r="B30" s="1" t="s">
        <v>27</v>
      </c>
      <c r="D30" s="6">
        <f>D28-D29</f>
        <v>165994.79868075738</v>
      </c>
      <c r="E30" s="60"/>
      <c r="G30" s="1" t="s">
        <v>27</v>
      </c>
      <c r="H30" s="2"/>
      <c r="I30" s="6">
        <f>I28-I29</f>
        <v>163319.50075040199</v>
      </c>
      <c r="J30" s="60"/>
      <c r="L30" s="1" t="s">
        <v>27</v>
      </c>
      <c r="M30" s="2"/>
      <c r="N30" s="6">
        <f>N28-N29</f>
        <v>162873.61776200941</v>
      </c>
      <c r="O30" s="60"/>
      <c r="Q30" s="1" t="s">
        <v>27</v>
      </c>
      <c r="R30" s="2"/>
      <c r="S30" s="6">
        <f>S28-S29</f>
        <v>161820.63002718973</v>
      </c>
      <c r="T30" s="20"/>
      <c r="AE30" s="1" t="s">
        <v>28</v>
      </c>
      <c r="AF30" s="2"/>
      <c r="AG30" s="6">
        <f>AG28-AG29</f>
        <v>420906.86989416985</v>
      </c>
      <c r="AH30" s="20"/>
    </row>
    <row r="31" spans="2:34" x14ac:dyDescent="0.3">
      <c r="E31" s="60"/>
      <c r="H31" s="2"/>
      <c r="J31" s="60"/>
      <c r="M31" s="2"/>
      <c r="O31" s="20"/>
      <c r="R31" s="2"/>
      <c r="T31" s="20"/>
      <c r="W31" s="1" t="s">
        <v>49</v>
      </c>
      <c r="AE31" s="46" t="s">
        <v>26</v>
      </c>
      <c r="AF31" s="3"/>
      <c r="AG31" s="7">
        <f>AF51</f>
        <v>0</v>
      </c>
      <c r="AH31" s="20" t="s">
        <v>16</v>
      </c>
    </row>
    <row r="32" spans="2:34" x14ac:dyDescent="0.3">
      <c r="E32" s="60"/>
      <c r="H32" s="2"/>
      <c r="J32" s="60"/>
      <c r="M32" s="2"/>
      <c r="O32" s="20"/>
      <c r="R32" s="2"/>
      <c r="T32" s="20"/>
      <c r="AE32" s="1" t="s">
        <v>25</v>
      </c>
      <c r="AF32" s="2"/>
      <c r="AG32" s="6">
        <f>AG30-AG31</f>
        <v>420906.86989416985</v>
      </c>
      <c r="AH32" s="20"/>
    </row>
    <row r="33" spans="2:34" x14ac:dyDescent="0.3">
      <c r="H33" s="2"/>
      <c r="J33" s="20"/>
      <c r="M33" s="2"/>
      <c r="O33" s="20"/>
      <c r="R33" s="2"/>
      <c r="T33" s="20"/>
      <c r="AF33" s="2"/>
      <c r="AG33" s="6"/>
      <c r="AH33" s="20"/>
    </row>
    <row r="34" spans="2:34" x14ac:dyDescent="0.3">
      <c r="B34" s="31" t="s">
        <v>18</v>
      </c>
      <c r="C34" s="32" t="s">
        <v>13</v>
      </c>
      <c r="D34" s="33" t="s">
        <v>15</v>
      </c>
      <c r="G34" s="31" t="s">
        <v>18</v>
      </c>
      <c r="H34" s="32" t="s">
        <v>13</v>
      </c>
      <c r="I34" s="33" t="s">
        <v>15</v>
      </c>
      <c r="J34" s="20"/>
      <c r="L34" s="31" t="s">
        <v>18</v>
      </c>
      <c r="M34" s="32" t="s">
        <v>13</v>
      </c>
      <c r="N34" s="33" t="s">
        <v>15</v>
      </c>
      <c r="O34" s="20"/>
      <c r="Q34" s="31" t="s">
        <v>18</v>
      </c>
      <c r="R34" s="32" t="s">
        <v>13</v>
      </c>
      <c r="S34" s="33" t="s">
        <v>15</v>
      </c>
      <c r="T34" s="20"/>
      <c r="AE34" s="31" t="s">
        <v>18</v>
      </c>
      <c r="AF34" s="32" t="s">
        <v>13</v>
      </c>
      <c r="AG34" s="33" t="s">
        <v>15</v>
      </c>
    </row>
    <row r="35" spans="2:34" x14ac:dyDescent="0.3">
      <c r="B35" s="28"/>
      <c r="C35" s="29"/>
      <c r="D35" s="30"/>
      <c r="G35" s="28"/>
      <c r="H35" s="29"/>
      <c r="I35" s="30"/>
      <c r="J35" s="20"/>
      <c r="L35" s="28"/>
      <c r="M35" s="29"/>
      <c r="N35" s="30"/>
      <c r="O35" s="20"/>
      <c r="Q35" s="28"/>
      <c r="R35" s="29"/>
      <c r="S35" s="30"/>
      <c r="T35" s="20"/>
      <c r="AE35" s="28"/>
      <c r="AF35" s="29"/>
      <c r="AG35" s="30"/>
    </row>
    <row r="36" spans="2:34" x14ac:dyDescent="0.3">
      <c r="B36" s="8" t="s">
        <v>34</v>
      </c>
      <c r="C36" s="9"/>
      <c r="D36" s="25"/>
      <c r="G36" s="8" t="s">
        <v>34</v>
      </c>
      <c r="H36" s="9"/>
      <c r="I36" s="25"/>
      <c r="J36" s="20"/>
      <c r="L36" s="8" t="s">
        <v>34</v>
      </c>
      <c r="M36" s="9"/>
      <c r="N36" s="25"/>
      <c r="O36" s="20"/>
      <c r="Q36" s="8" t="s">
        <v>34</v>
      </c>
      <c r="R36" s="9"/>
      <c r="S36" s="25"/>
      <c r="T36" s="20"/>
      <c r="AE36" s="8" t="s">
        <v>34</v>
      </c>
      <c r="AF36" s="9"/>
      <c r="AG36" s="25"/>
    </row>
    <row r="37" spans="2:34" x14ac:dyDescent="0.3">
      <c r="B37" s="21" t="s">
        <v>19</v>
      </c>
      <c r="C37" s="9">
        <v>20940</v>
      </c>
      <c r="D37" s="10">
        <f>(1+$D$21)*C37</f>
        <v>25128</v>
      </c>
      <c r="G37" s="21" t="s">
        <v>19</v>
      </c>
      <c r="H37" s="9">
        <v>20940</v>
      </c>
      <c r="I37" s="10">
        <f>(1+$I$21)*H37</f>
        <v>31410</v>
      </c>
      <c r="J37" s="20"/>
      <c r="L37" s="21" t="s">
        <v>19</v>
      </c>
      <c r="M37" s="9">
        <v>20940</v>
      </c>
      <c r="N37" s="10">
        <f t="shared" ref="N37:N39" si="5">(1+$N$21)*M37</f>
        <v>32457</v>
      </c>
      <c r="O37" s="20"/>
      <c r="Q37" s="21" t="s">
        <v>19</v>
      </c>
      <c r="R37" s="9">
        <v>20940</v>
      </c>
      <c r="S37" s="10">
        <f t="shared" ref="S37:S39" si="6">(1+$S$21)*R37</f>
        <v>26576.658766818451</v>
      </c>
      <c r="T37" s="20"/>
      <c r="AE37" s="21" t="s">
        <v>19</v>
      </c>
      <c r="AF37" s="9">
        <v>20940</v>
      </c>
      <c r="AG37" s="10">
        <f t="shared" ref="AG37:AG39" si="7">(1+$AG$21)*AF37</f>
        <v>26408.757426661698</v>
      </c>
    </row>
    <row r="38" spans="2:34" x14ac:dyDescent="0.3">
      <c r="B38" s="21" t="s">
        <v>20</v>
      </c>
      <c r="C38" s="9">
        <v>31970</v>
      </c>
      <c r="D38" s="10">
        <f>(1+$D$21)*C38</f>
        <v>38364</v>
      </c>
      <c r="G38" s="21" t="s">
        <v>20</v>
      </c>
      <c r="H38" s="9">
        <v>31970</v>
      </c>
      <c r="I38" s="10">
        <f t="shared" ref="I38" si="8">(1+$I$21)*H38</f>
        <v>47955</v>
      </c>
      <c r="J38" s="20"/>
      <c r="L38" s="21" t="s">
        <v>20</v>
      </c>
      <c r="M38" s="9">
        <v>31970</v>
      </c>
      <c r="N38" s="10">
        <f t="shared" si="5"/>
        <v>49553.5</v>
      </c>
      <c r="O38" s="20"/>
      <c r="Q38" s="21" t="s">
        <v>20</v>
      </c>
      <c r="R38" s="9">
        <v>31970</v>
      </c>
      <c r="S38" s="10">
        <f t="shared" si="6"/>
        <v>40575.729740935334</v>
      </c>
      <c r="T38" s="20"/>
      <c r="AE38" s="21" t="s">
        <v>20</v>
      </c>
      <c r="AF38" s="9">
        <v>31970</v>
      </c>
      <c r="AG38" s="10">
        <f t="shared" si="7"/>
        <v>40319.387532491623</v>
      </c>
    </row>
    <row r="39" spans="2:34" x14ac:dyDescent="0.3">
      <c r="B39" s="22" t="s">
        <v>21</v>
      </c>
      <c r="C39" s="3">
        <v>71320</v>
      </c>
      <c r="D39" s="10">
        <f>(1+$D$21)*C39</f>
        <v>85584</v>
      </c>
      <c r="G39" s="22" t="s">
        <v>21</v>
      </c>
      <c r="H39" s="3">
        <v>71320</v>
      </c>
      <c r="I39" s="12">
        <f>(1+$I$21)*H39</f>
        <v>106980</v>
      </c>
      <c r="J39" s="20"/>
      <c r="L39" s="22" t="s">
        <v>21</v>
      </c>
      <c r="M39" s="3">
        <v>71320</v>
      </c>
      <c r="N39" s="12">
        <f t="shared" si="5"/>
        <v>110546</v>
      </c>
      <c r="O39" s="20"/>
      <c r="Q39" s="22" t="s">
        <v>21</v>
      </c>
      <c r="R39" s="3">
        <v>71320</v>
      </c>
      <c r="S39" s="12">
        <f t="shared" si="6"/>
        <v>90518.018302267999</v>
      </c>
      <c r="T39" s="20"/>
      <c r="AE39" s="22" t="s">
        <v>21</v>
      </c>
      <c r="AF39" s="3">
        <v>71320</v>
      </c>
      <c r="AG39" s="12">
        <f t="shared" si="7"/>
        <v>89946.15948756029</v>
      </c>
    </row>
    <row r="40" spans="2:34" x14ac:dyDescent="0.3">
      <c r="B40" s="23" t="s">
        <v>22</v>
      </c>
      <c r="C40" s="19">
        <f>SUM(C37:C39)</f>
        <v>124230</v>
      </c>
      <c r="D40" s="26">
        <f>SUM(D37:D39)</f>
        <v>149076</v>
      </c>
      <c r="G40" s="23" t="s">
        <v>22</v>
      </c>
      <c r="H40" s="19">
        <f>SUM(H37:H39)</f>
        <v>124230</v>
      </c>
      <c r="I40" s="26">
        <f>SUM(I37:I39)</f>
        <v>186345</v>
      </c>
      <c r="J40" s="20"/>
      <c r="L40" s="23" t="s">
        <v>22</v>
      </c>
      <c r="M40" s="19">
        <f>SUM(M37:M39)</f>
        <v>124230</v>
      </c>
      <c r="N40" s="26">
        <f>SUM(N37:N39)</f>
        <v>192556.5</v>
      </c>
      <c r="O40" s="20"/>
      <c r="Q40" s="23" t="s">
        <v>22</v>
      </c>
      <c r="R40" s="19">
        <f>SUM(R37:R39)</f>
        <v>124230</v>
      </c>
      <c r="S40" s="26">
        <f>SUM(S37:S39)</f>
        <v>157670.40681002178</v>
      </c>
      <c r="T40" s="20"/>
      <c r="AE40" s="23" t="s">
        <v>22</v>
      </c>
      <c r="AF40" s="19">
        <f>SUM(AF37:AF39)</f>
        <v>124230</v>
      </c>
      <c r="AG40" s="26">
        <f>SUM(AG37:AG39)</f>
        <v>156674.30444671359</v>
      </c>
    </row>
    <row r="41" spans="2:34" x14ac:dyDescent="0.3">
      <c r="B41" s="8"/>
      <c r="C41" s="9"/>
      <c r="D41" s="25"/>
      <c r="G41" s="8"/>
      <c r="H41" s="9"/>
      <c r="I41" s="25"/>
      <c r="J41" s="20"/>
      <c r="L41" s="8"/>
      <c r="M41" s="9"/>
      <c r="N41" s="25"/>
      <c r="O41" s="20"/>
      <c r="Q41" s="8"/>
      <c r="R41" s="9"/>
      <c r="S41" s="25"/>
      <c r="T41" s="20"/>
      <c r="AE41" s="8"/>
      <c r="AF41" s="9"/>
      <c r="AG41" s="25"/>
    </row>
    <row r="42" spans="2:34" x14ac:dyDescent="0.3">
      <c r="B42" s="8" t="s">
        <v>33</v>
      </c>
      <c r="C42" s="9"/>
      <c r="D42" s="25"/>
      <c r="G42" s="8" t="s">
        <v>33</v>
      </c>
      <c r="H42" s="9"/>
      <c r="I42" s="25"/>
      <c r="J42" s="20"/>
      <c r="L42" s="8" t="s">
        <v>33</v>
      </c>
      <c r="M42" s="9"/>
      <c r="N42" s="25"/>
      <c r="O42" s="20"/>
      <c r="Q42" s="8" t="s">
        <v>33</v>
      </c>
      <c r="R42" s="9"/>
      <c r="S42" s="25"/>
      <c r="T42" s="20"/>
      <c r="AE42" s="8" t="s">
        <v>33</v>
      </c>
      <c r="AF42" s="9"/>
      <c r="AG42" s="25"/>
    </row>
    <row r="43" spans="2:34" x14ac:dyDescent="0.3">
      <c r="B43" s="22" t="s">
        <v>23</v>
      </c>
      <c r="C43" s="3">
        <v>341980</v>
      </c>
      <c r="D43" s="12">
        <f>(1+$D$21)*C43</f>
        <v>410376</v>
      </c>
      <c r="G43" s="22" t="s">
        <v>23</v>
      </c>
      <c r="H43" s="3">
        <v>341980</v>
      </c>
      <c r="I43" s="12">
        <f>(1+$I$21)*H43</f>
        <v>512970</v>
      </c>
      <c r="J43" s="20"/>
      <c r="L43" s="22" t="s">
        <v>23</v>
      </c>
      <c r="M43" s="3">
        <v>341980</v>
      </c>
      <c r="N43" s="12">
        <f t="shared" ref="N43" si="9">(1+$N$21)*M43</f>
        <v>530069</v>
      </c>
      <c r="O43" s="20"/>
      <c r="Q43" s="22" t="s">
        <v>23</v>
      </c>
      <c r="R43" s="3">
        <v>341980</v>
      </c>
      <c r="S43" s="12">
        <f t="shared" ref="S43" si="10">(1+$S$21)*R43</f>
        <v>434034.65926822228</v>
      </c>
      <c r="T43" s="20"/>
      <c r="AE43" s="22" t="s">
        <v>23</v>
      </c>
      <c r="AF43" s="3">
        <v>341980</v>
      </c>
      <c r="AG43" s="12">
        <f>(1+$AG$21)*AF43</f>
        <v>431292.59144077211</v>
      </c>
    </row>
    <row r="44" spans="2:34" x14ac:dyDescent="0.3">
      <c r="B44" s="8"/>
      <c r="C44" s="9"/>
      <c r="D44" s="25"/>
      <c r="G44" s="8"/>
      <c r="H44" s="9"/>
      <c r="I44" s="25"/>
      <c r="J44" s="20"/>
      <c r="L44" s="8"/>
      <c r="M44" s="9"/>
      <c r="N44" s="25"/>
      <c r="O44" s="20"/>
      <c r="Q44" s="8"/>
      <c r="R44" s="9"/>
      <c r="S44" s="25"/>
      <c r="T44" s="20"/>
      <c r="AE44" s="8"/>
      <c r="AF44" s="9"/>
      <c r="AG44" s="25"/>
    </row>
    <row r="45" spans="2:34" ht="11.65" thickBot="1" x14ac:dyDescent="0.35">
      <c r="B45" s="24" t="s">
        <v>32</v>
      </c>
      <c r="C45" s="18">
        <f>C40+C43</f>
        <v>466210</v>
      </c>
      <c r="D45" s="27">
        <f>D40+D43</f>
        <v>559452</v>
      </c>
      <c r="G45" s="24" t="s">
        <v>32</v>
      </c>
      <c r="H45" s="18">
        <f>H40+H43</f>
        <v>466210</v>
      </c>
      <c r="I45" s="27">
        <f>I40+I43</f>
        <v>699315</v>
      </c>
      <c r="J45" s="20"/>
      <c r="L45" s="24" t="s">
        <v>32</v>
      </c>
      <c r="M45" s="18">
        <f>M40+M43</f>
        <v>466210</v>
      </c>
      <c r="N45" s="27">
        <f>N40+N43</f>
        <v>722625.5</v>
      </c>
      <c r="O45" s="20"/>
      <c r="Q45" s="24" t="s">
        <v>32</v>
      </c>
      <c r="R45" s="18">
        <f>R40+R43</f>
        <v>466210</v>
      </c>
      <c r="S45" s="27">
        <f>S40+S43</f>
        <v>591705.06607824401</v>
      </c>
      <c r="T45" s="20"/>
      <c r="AE45" s="24" t="s">
        <v>32</v>
      </c>
      <c r="AF45" s="18">
        <f>AF40+AF43</f>
        <v>466210</v>
      </c>
      <c r="AG45" s="27">
        <f>AG40+AG43</f>
        <v>587966.89588748571</v>
      </c>
    </row>
    <row r="46" spans="2:34" ht="11.65" thickTop="1" x14ac:dyDescent="0.3">
      <c r="B46" s="8"/>
      <c r="C46" s="9"/>
      <c r="D46" s="25"/>
      <c r="G46" s="8"/>
      <c r="H46" s="9"/>
      <c r="I46" s="25"/>
      <c r="J46" s="20"/>
      <c r="L46" s="8"/>
      <c r="M46" s="9"/>
      <c r="N46" s="25"/>
      <c r="O46" s="20"/>
      <c r="Q46" s="8"/>
      <c r="R46" s="9"/>
      <c r="S46" s="25"/>
      <c r="T46" s="20"/>
      <c r="AE46" s="8"/>
      <c r="AF46" s="9"/>
      <c r="AG46" s="25"/>
    </row>
    <row r="47" spans="2:34" x14ac:dyDescent="0.3">
      <c r="B47" s="8" t="s">
        <v>24</v>
      </c>
      <c r="C47" s="9"/>
      <c r="D47" s="25"/>
      <c r="G47" s="8" t="s">
        <v>24</v>
      </c>
      <c r="H47" s="9"/>
      <c r="I47" s="25"/>
      <c r="J47" s="20"/>
      <c r="L47" s="8" t="s">
        <v>24</v>
      </c>
      <c r="M47" s="9"/>
      <c r="N47" s="25"/>
      <c r="O47" s="20"/>
      <c r="Q47" s="8" t="s">
        <v>24</v>
      </c>
      <c r="R47" s="9"/>
      <c r="S47" s="25"/>
      <c r="T47" s="20"/>
      <c r="AE47" s="8" t="s">
        <v>24</v>
      </c>
      <c r="AF47" s="9"/>
      <c r="AG47" s="25"/>
    </row>
    <row r="48" spans="2:34" x14ac:dyDescent="0.3">
      <c r="B48" s="21" t="s">
        <v>25</v>
      </c>
      <c r="C48" s="9">
        <v>53790</v>
      </c>
      <c r="D48" s="10">
        <f>(1+$D$21)*C48</f>
        <v>64548</v>
      </c>
      <c r="G48" s="21" t="s">
        <v>25</v>
      </c>
      <c r="H48" s="9">
        <v>53790</v>
      </c>
      <c r="I48" s="10">
        <f>(1+$I$21)*H48</f>
        <v>80685</v>
      </c>
      <c r="J48" s="20"/>
      <c r="L48" s="21" t="s">
        <v>25</v>
      </c>
      <c r="M48" s="9">
        <v>53790</v>
      </c>
      <c r="N48" s="10">
        <f t="shared" ref="N48" si="11">(1+$N$21)*M48</f>
        <v>83374.5</v>
      </c>
      <c r="O48" s="20"/>
      <c r="Q48" s="21" t="s">
        <v>25</v>
      </c>
      <c r="R48" s="9">
        <v>53790</v>
      </c>
      <c r="S48" s="10">
        <f t="shared" ref="S48:S49" si="12">(1+$S$21)*R48</f>
        <v>68269.268150294389</v>
      </c>
      <c r="T48" s="20"/>
      <c r="AE48" s="21" t="s">
        <v>25</v>
      </c>
      <c r="AF48" s="9">
        <v>53790</v>
      </c>
      <c r="AG48" s="10">
        <f>(1+$AG$21)*AF48</f>
        <v>67837.968575937572</v>
      </c>
      <c r="AH48" s="60"/>
    </row>
    <row r="49" spans="2:34" x14ac:dyDescent="0.3">
      <c r="B49" s="22" t="s">
        <v>26</v>
      </c>
      <c r="C49" s="3">
        <v>13215</v>
      </c>
      <c r="D49" s="10">
        <f>C49</f>
        <v>13215</v>
      </c>
      <c r="E49" s="20" t="s">
        <v>16</v>
      </c>
      <c r="G49" s="22" t="s">
        <v>26</v>
      </c>
      <c r="H49" s="3">
        <v>13215</v>
      </c>
      <c r="I49" s="10">
        <f>H49</f>
        <v>13215</v>
      </c>
      <c r="J49" s="20" t="s">
        <v>16</v>
      </c>
      <c r="L49" s="22" t="s">
        <v>26</v>
      </c>
      <c r="M49" s="3">
        <v>13215</v>
      </c>
      <c r="N49" s="10">
        <f>M49</f>
        <v>13215</v>
      </c>
      <c r="O49" s="20" t="s">
        <v>16</v>
      </c>
      <c r="Q49" s="22" t="s">
        <v>26</v>
      </c>
      <c r="R49" s="3">
        <v>13215</v>
      </c>
      <c r="S49" s="10">
        <f t="shared" si="12"/>
        <v>16772.232359288722</v>
      </c>
      <c r="T49" s="20" t="s">
        <v>63</v>
      </c>
      <c r="AE49" s="22" t="s">
        <v>26</v>
      </c>
      <c r="AF49" s="3">
        <v>13215</v>
      </c>
      <c r="AG49" s="12">
        <f>(1+$AG$21)*AF49</f>
        <v>16666.271699777189</v>
      </c>
      <c r="AH49" s="60" t="s">
        <v>63</v>
      </c>
    </row>
    <row r="50" spans="2:34" x14ac:dyDescent="0.3">
      <c r="B50" s="23" t="s">
        <v>28</v>
      </c>
      <c r="C50" s="19">
        <f>SUM(C48:C49)</f>
        <v>67005</v>
      </c>
      <c r="D50" s="26">
        <f>SUM(D48:D49)</f>
        <v>77763</v>
      </c>
      <c r="G50" s="23" t="s">
        <v>28</v>
      </c>
      <c r="H50" s="19">
        <f>SUM(H48:H49)</f>
        <v>67005</v>
      </c>
      <c r="I50" s="26">
        <f>SUM(I48:I49)</f>
        <v>93900</v>
      </c>
      <c r="J50" s="20"/>
      <c r="L50" s="23" t="s">
        <v>28</v>
      </c>
      <c r="M50" s="19">
        <f>SUM(M48:M49)</f>
        <v>67005</v>
      </c>
      <c r="N50" s="26">
        <f>SUM(N48:N49)</f>
        <v>96589.5</v>
      </c>
      <c r="O50" s="20"/>
      <c r="Q50" s="23" t="s">
        <v>28</v>
      </c>
      <c r="R50" s="19">
        <f>SUM(R48:R49)</f>
        <v>67005</v>
      </c>
      <c r="S50" s="26">
        <f>SUM(S48:S49)</f>
        <v>85041.500509583115</v>
      </c>
      <c r="T50" s="20"/>
      <c r="AE50" s="23" t="s">
        <v>28</v>
      </c>
      <c r="AF50" s="19">
        <f>SUM(AF48:AF49)</f>
        <v>67005</v>
      </c>
      <c r="AG50" s="26">
        <f>SUM(AG48:AG49)</f>
        <v>84504.240275714765</v>
      </c>
    </row>
    <row r="51" spans="2:34" x14ac:dyDescent="0.3">
      <c r="B51" s="8"/>
      <c r="C51" s="9"/>
      <c r="D51" s="25"/>
      <c r="G51" s="8"/>
      <c r="H51" s="9"/>
      <c r="I51" s="25"/>
      <c r="J51" s="20"/>
      <c r="L51" s="8"/>
      <c r="M51" s="9"/>
      <c r="N51" s="25"/>
      <c r="O51" s="20"/>
      <c r="Q51" s="8"/>
      <c r="R51" s="9"/>
      <c r="S51" s="25"/>
      <c r="T51" s="20"/>
      <c r="AE51" s="8"/>
      <c r="AF51" s="9"/>
      <c r="AG51" s="25"/>
    </row>
    <row r="52" spans="2:34" x14ac:dyDescent="0.3">
      <c r="B52" s="8" t="s">
        <v>27</v>
      </c>
      <c r="C52" s="9">
        <v>127500</v>
      </c>
      <c r="D52" s="62">
        <v>165994.79868075735</v>
      </c>
      <c r="G52" s="8" t="s">
        <v>27</v>
      </c>
      <c r="H52" s="9">
        <v>127500</v>
      </c>
      <c r="I52" s="62">
        <v>163319.50075040199</v>
      </c>
      <c r="J52" s="20"/>
      <c r="L52" s="8" t="s">
        <v>27</v>
      </c>
      <c r="M52" s="9">
        <v>127500</v>
      </c>
      <c r="N52" s="62">
        <v>162873.61776200941</v>
      </c>
      <c r="O52" s="20" t="s">
        <v>16</v>
      </c>
      <c r="Q52" s="8" t="s">
        <v>27</v>
      </c>
      <c r="R52" s="9">
        <v>127500</v>
      </c>
      <c r="S52" s="10">
        <f t="shared" ref="S52" si="13">(1+$S$21)*R52</f>
        <v>161820.63002718971</v>
      </c>
      <c r="T52" s="20" t="s">
        <v>63</v>
      </c>
      <c r="AE52" s="8" t="s">
        <v>27</v>
      </c>
      <c r="AF52" s="3">
        <v>127500</v>
      </c>
      <c r="AG52" s="12">
        <f>(1+$AG$21)*AF52</f>
        <v>160798.30811362783</v>
      </c>
      <c r="AH52" s="60" t="s">
        <v>63</v>
      </c>
    </row>
    <row r="53" spans="2:34" x14ac:dyDescent="0.3">
      <c r="B53" s="8"/>
      <c r="C53" s="9"/>
      <c r="D53" s="25"/>
      <c r="G53" s="8"/>
      <c r="H53" s="9"/>
      <c r="I53" s="25"/>
      <c r="J53" s="20"/>
      <c r="L53" s="8"/>
      <c r="M53" s="9"/>
      <c r="N53" s="25"/>
      <c r="O53" s="20"/>
      <c r="Q53" s="8"/>
      <c r="R53" s="9"/>
      <c r="S53" s="25"/>
      <c r="T53" s="20"/>
      <c r="AE53" s="8"/>
      <c r="AF53" s="9"/>
      <c r="AG53" s="25"/>
    </row>
    <row r="54" spans="2:34" x14ac:dyDescent="0.3">
      <c r="B54" s="8" t="s">
        <v>35</v>
      </c>
      <c r="C54" s="9"/>
      <c r="D54" s="25"/>
      <c r="G54" s="8" t="s">
        <v>35</v>
      </c>
      <c r="H54" s="9"/>
      <c r="I54" s="25"/>
      <c r="J54" s="20"/>
      <c r="L54" s="8" t="s">
        <v>35</v>
      </c>
      <c r="M54" s="9"/>
      <c r="N54" s="25"/>
      <c r="O54" s="20"/>
      <c r="Q54" s="8" t="s">
        <v>35</v>
      </c>
      <c r="R54" s="9"/>
      <c r="S54" s="25"/>
      <c r="T54" s="20"/>
      <c r="AE54" s="8" t="s">
        <v>35</v>
      </c>
      <c r="AF54" s="9"/>
      <c r="AG54" s="25"/>
    </row>
    <row r="55" spans="2:34" x14ac:dyDescent="0.3">
      <c r="B55" s="21" t="s">
        <v>29</v>
      </c>
      <c r="C55" s="9">
        <v>105000</v>
      </c>
      <c r="D55" s="10">
        <f>C55</f>
        <v>105000</v>
      </c>
      <c r="E55" s="20" t="s">
        <v>16</v>
      </c>
      <c r="G55" s="21" t="s">
        <v>29</v>
      </c>
      <c r="H55" s="9">
        <v>105000</v>
      </c>
      <c r="I55" s="10">
        <f>H55</f>
        <v>105000</v>
      </c>
      <c r="J55" s="20" t="s">
        <v>16</v>
      </c>
      <c r="L55" s="21" t="s">
        <v>29</v>
      </c>
      <c r="M55" s="9">
        <v>105000</v>
      </c>
      <c r="N55" s="10">
        <f>M55</f>
        <v>105000</v>
      </c>
      <c r="O55" s="20" t="s">
        <v>16</v>
      </c>
      <c r="Q55" s="21" t="s">
        <v>29</v>
      </c>
      <c r="R55" s="9">
        <v>105000</v>
      </c>
      <c r="S55" s="10">
        <f>R55</f>
        <v>105000</v>
      </c>
      <c r="T55" s="20" t="s">
        <v>16</v>
      </c>
      <c r="AE55" s="21" t="s">
        <v>29</v>
      </c>
      <c r="AF55" s="9">
        <v>105000</v>
      </c>
      <c r="AG55" s="10">
        <f>AF55</f>
        <v>105000</v>
      </c>
      <c r="AH55" s="63" t="s">
        <v>16</v>
      </c>
    </row>
    <row r="56" spans="2:34" x14ac:dyDescent="0.3">
      <c r="B56" s="22" t="s">
        <v>30</v>
      </c>
      <c r="C56" s="3">
        <v>166705</v>
      </c>
      <c r="D56" s="14">
        <f>C56+D16</f>
        <v>235506.47896226414</v>
      </c>
      <c r="G56" s="22" t="s">
        <v>30</v>
      </c>
      <c r="H56" s="3">
        <v>166705</v>
      </c>
      <c r="I56" s="14">
        <f>H56+I16</f>
        <v>254311.19740566038</v>
      </c>
      <c r="J56" s="20"/>
      <c r="L56" s="22" t="s">
        <v>30</v>
      </c>
      <c r="M56" s="3">
        <v>166705</v>
      </c>
      <c r="N56" s="14">
        <f>M56+N16</f>
        <v>257445.31714622641</v>
      </c>
      <c r="O56" s="20"/>
      <c r="Q56" s="22" t="s">
        <v>30</v>
      </c>
      <c r="R56" s="3">
        <v>166705</v>
      </c>
      <c r="S56" s="14">
        <f>R56+S16</f>
        <v>239842.9355414712</v>
      </c>
      <c r="T56" s="20"/>
      <c r="AE56" s="22" t="s">
        <v>30</v>
      </c>
      <c r="AF56" s="3">
        <v>166705</v>
      </c>
      <c r="AG56" s="14">
        <f>AF56+AG16</f>
        <v>237664.34749814324</v>
      </c>
    </row>
    <row r="57" spans="2:34" x14ac:dyDescent="0.3">
      <c r="B57" s="23" t="s">
        <v>42</v>
      </c>
      <c r="C57" s="19">
        <f>SUM(C55:C56)</f>
        <v>271705</v>
      </c>
      <c r="D57" s="26">
        <f>SUM(D55:D56)</f>
        <v>340506.47896226414</v>
      </c>
      <c r="G57" s="23" t="s">
        <v>42</v>
      </c>
      <c r="H57" s="19">
        <f>SUM(H55:H56)</f>
        <v>271705</v>
      </c>
      <c r="I57" s="26">
        <f>SUM(I55:I56)</f>
        <v>359311.19740566041</v>
      </c>
      <c r="J57" s="20"/>
      <c r="L57" s="23" t="s">
        <v>42</v>
      </c>
      <c r="M57" s="19">
        <f>SUM(M55:M56)</f>
        <v>271705</v>
      </c>
      <c r="N57" s="26">
        <f>SUM(N55:N56)</f>
        <v>362445.31714622641</v>
      </c>
      <c r="O57" s="20"/>
      <c r="Q57" s="23" t="s">
        <v>42</v>
      </c>
      <c r="R57" s="19">
        <f>SUM(R55:R56)</f>
        <v>271705</v>
      </c>
      <c r="S57" s="26">
        <f>SUM(S55:S56)</f>
        <v>344842.93554147123</v>
      </c>
      <c r="T57" s="20"/>
      <c r="AE57" s="23" t="s">
        <v>42</v>
      </c>
      <c r="AF57" s="19">
        <f>SUM(AF55:AF56)</f>
        <v>271705</v>
      </c>
      <c r="AG57" s="26">
        <f>SUM(AG55:AG56)</f>
        <v>342664.34749814321</v>
      </c>
    </row>
    <row r="58" spans="2:34" x14ac:dyDescent="0.3">
      <c r="B58" s="8"/>
      <c r="C58" s="9"/>
      <c r="D58" s="25"/>
      <c r="G58" s="8"/>
      <c r="H58" s="9"/>
      <c r="I58" s="25"/>
      <c r="J58" s="20"/>
      <c r="L58" s="8"/>
      <c r="M58" s="9"/>
      <c r="N58" s="25"/>
      <c r="O58" s="20"/>
      <c r="Q58" s="8"/>
      <c r="R58" s="9"/>
      <c r="S58" s="25"/>
      <c r="T58" s="20"/>
      <c r="AE58" s="8"/>
      <c r="AF58" s="9"/>
      <c r="AG58" s="25"/>
    </row>
    <row r="59" spans="2:34" ht="11.65" thickBot="1" x14ac:dyDescent="0.35">
      <c r="B59" s="24" t="s">
        <v>31</v>
      </c>
      <c r="C59" s="18">
        <f>C50+C52+C57</f>
        <v>466210</v>
      </c>
      <c r="D59" s="27">
        <f>D50+D52+D57</f>
        <v>584264.27764302143</v>
      </c>
      <c r="G59" s="24" t="s">
        <v>31</v>
      </c>
      <c r="H59" s="18">
        <f>H50+H52+H57</f>
        <v>466210</v>
      </c>
      <c r="I59" s="27">
        <f>I50+I52+I57</f>
        <v>616530.6981560624</v>
      </c>
      <c r="J59" s="20"/>
      <c r="L59" s="24" t="s">
        <v>31</v>
      </c>
      <c r="M59" s="18">
        <f>M50+M52+M57</f>
        <v>466210</v>
      </c>
      <c r="N59" s="27">
        <f>N50+N52+N57</f>
        <v>621908.43490823579</v>
      </c>
      <c r="O59" s="20"/>
      <c r="Q59" s="24" t="s">
        <v>31</v>
      </c>
      <c r="R59" s="18">
        <f>R50+R52+R57</f>
        <v>466210</v>
      </c>
      <c r="S59" s="27">
        <f>S50+S52+S57</f>
        <v>591705.06607824401</v>
      </c>
      <c r="T59" s="60"/>
      <c r="AE59" s="24" t="s">
        <v>31</v>
      </c>
      <c r="AF59" s="18">
        <f>AF50+AF52+AF57</f>
        <v>466210</v>
      </c>
      <c r="AG59" s="27">
        <f>AG50+AG52+AG57</f>
        <v>587966.89588748582</v>
      </c>
    </row>
    <row r="60" spans="2:34" ht="11.65" thickTop="1" x14ac:dyDescent="0.3">
      <c r="H60" s="2"/>
      <c r="J60" s="20"/>
      <c r="M60" s="2"/>
      <c r="O60" s="20"/>
      <c r="R60" s="2"/>
      <c r="T60" s="60"/>
      <c r="AF60" s="2"/>
    </row>
    <row r="61" spans="2:34" x14ac:dyDescent="0.3">
      <c r="B61" s="1" t="s">
        <v>36</v>
      </c>
      <c r="D61" s="41">
        <f>D45-D59</f>
        <v>-24812.277643021429</v>
      </c>
      <c r="G61" s="1" t="s">
        <v>36</v>
      </c>
      <c r="H61" s="2"/>
      <c r="I61" s="41">
        <f>I45-I59</f>
        <v>82784.301843937603</v>
      </c>
      <c r="J61" s="20"/>
      <c r="L61" s="1" t="s">
        <v>36</v>
      </c>
      <c r="M61" s="2"/>
      <c r="N61" s="41">
        <f>N45-N59</f>
        <v>100717.06509176421</v>
      </c>
      <c r="O61" s="20"/>
      <c r="Q61" s="1" t="s">
        <v>36</v>
      </c>
      <c r="R61" s="2"/>
      <c r="S61" s="41">
        <f>S45-S59</f>
        <v>0</v>
      </c>
      <c r="T61" s="60" t="s">
        <v>46</v>
      </c>
      <c r="AE61" s="1" t="s">
        <v>36</v>
      </c>
      <c r="AF61" s="2"/>
      <c r="AG61" s="41">
        <f>AG45-AG59</f>
        <v>0</v>
      </c>
    </row>
    <row r="64" spans="2:34" x14ac:dyDescent="0.3">
      <c r="Q64" s="45" t="s">
        <v>50</v>
      </c>
      <c r="AE64" s="45" t="s">
        <v>50</v>
      </c>
    </row>
    <row r="65" spans="16:32" x14ac:dyDescent="0.3">
      <c r="Q65" s="1" t="s">
        <v>52</v>
      </c>
      <c r="AE65" s="1" t="s">
        <v>52</v>
      </c>
    </row>
    <row r="66" spans="16:32" x14ac:dyDescent="0.3">
      <c r="Q66" s="1" t="s">
        <v>53</v>
      </c>
      <c r="R66" s="5">
        <f>R13/R45</f>
        <v>0.17961862679908197</v>
      </c>
      <c r="AE66" s="1" t="s">
        <v>53</v>
      </c>
      <c r="AF66" s="5">
        <f>AF13/AF57</f>
        <v>0.3082019101599161</v>
      </c>
    </row>
    <row r="67" spans="16:32" x14ac:dyDescent="0.3">
      <c r="Q67" s="1" t="s">
        <v>54</v>
      </c>
      <c r="R67" s="47">
        <f>1-R19</f>
        <v>0.67190112252209211</v>
      </c>
      <c r="T67" s="61" t="s">
        <v>51</v>
      </c>
      <c r="AE67" s="1" t="s">
        <v>54</v>
      </c>
      <c r="AF67" s="47">
        <f>1-AF19</f>
        <v>0.67190112252209211</v>
      </c>
    </row>
    <row r="68" spans="16:32" x14ac:dyDescent="0.3">
      <c r="Q68" s="1" t="s">
        <v>55</v>
      </c>
      <c r="R68" s="47">
        <f>(R66*R67)/(1-(R66*R67))</f>
        <v>0.13725011891839148</v>
      </c>
      <c r="AE68" s="1" t="s">
        <v>55</v>
      </c>
      <c r="AF68" s="47">
        <f>(AF66*AF67)/(1-(AF66*AF67))</f>
        <v>0.26116320089119938</v>
      </c>
    </row>
    <row r="70" spans="16:32" x14ac:dyDescent="0.3">
      <c r="Q70" s="58" t="s">
        <v>58</v>
      </c>
      <c r="R70" s="59" t="b">
        <f>ROUND(R68,4)=ROUND(S21,4)</f>
        <v>0</v>
      </c>
      <c r="AE70" s="58" t="s">
        <v>58</v>
      </c>
      <c r="AF70" s="59" t="b">
        <f>ROUND(AF68,4)=ROUND(AG21,4)</f>
        <v>1</v>
      </c>
    </row>
    <row r="72" spans="16:32" x14ac:dyDescent="0.3">
      <c r="Q72" s="45" t="s">
        <v>59</v>
      </c>
    </row>
    <row r="73" spans="16:32" x14ac:dyDescent="0.3">
      <c r="P73" s="64" t="s">
        <v>71</v>
      </c>
      <c r="Q73" s="1" t="s">
        <v>72</v>
      </c>
    </row>
    <row r="74" spans="16:32" x14ac:dyDescent="0.3">
      <c r="Q74" s="1" t="s">
        <v>68</v>
      </c>
    </row>
    <row r="75" spans="16:32" x14ac:dyDescent="0.3">
      <c r="P75" s="6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9DB50-705A-4582-9663-085A70C660FA}">
  <dimension ref="B2:AH67"/>
  <sheetViews>
    <sheetView showGridLines="0" topLeftCell="O36" zoomScale="96" zoomScaleNormal="96" workbookViewId="0">
      <selection activeCell="P62" sqref="P62:Q66"/>
    </sheetView>
  </sheetViews>
  <sheetFormatPr defaultRowHeight="11.25" x14ac:dyDescent="0.3"/>
  <cols>
    <col min="1" max="1" width="6.06640625" style="1" customWidth="1"/>
    <col min="2" max="2" width="27.19921875" style="1" bestFit="1" customWidth="1"/>
    <col min="3" max="3" width="13.796875" style="2" customWidth="1"/>
    <col min="4" max="4" width="13.796875" style="1" customWidth="1"/>
    <col min="5" max="5" width="13.796875" style="20" customWidth="1"/>
    <col min="6" max="6" width="9.06640625" style="1"/>
    <col min="7" max="7" width="27.6640625" style="1" bestFit="1" customWidth="1"/>
    <col min="8" max="10" width="13.796875" style="1" customWidth="1"/>
    <col min="11" max="11" width="9.06640625" style="1"/>
    <col min="12" max="12" width="27.6640625" style="1" bestFit="1" customWidth="1"/>
    <col min="13" max="15" width="13.796875" style="1" customWidth="1"/>
    <col min="16" max="16" width="9.06640625" style="1"/>
    <col min="17" max="17" width="27.6640625" style="1" bestFit="1" customWidth="1"/>
    <col min="18" max="20" width="13.796875" style="1" customWidth="1"/>
    <col min="21" max="24" width="9.06640625" style="1"/>
    <col min="25" max="25" width="14.53125" style="50" customWidth="1"/>
    <col min="26" max="26" width="11.86328125" style="50" customWidth="1"/>
    <col min="27" max="30" width="9.06640625" style="1"/>
    <col min="31" max="31" width="27.6640625" style="1" bestFit="1" customWidth="1"/>
    <col min="32" max="33" width="13.796875" style="1" customWidth="1"/>
    <col min="34" max="16384" width="9.06640625" style="1"/>
  </cols>
  <sheetData>
    <row r="2" spans="2:34" x14ac:dyDescent="0.3">
      <c r="B2" s="1" t="s">
        <v>0</v>
      </c>
      <c r="G2" s="1" t="s">
        <v>0</v>
      </c>
      <c r="H2" s="2"/>
      <c r="J2" s="20"/>
      <c r="L2" s="1" t="s">
        <v>0</v>
      </c>
      <c r="M2" s="2"/>
      <c r="O2" s="20"/>
      <c r="Q2" s="1" t="s">
        <v>0</v>
      </c>
      <c r="R2" s="2"/>
      <c r="T2" s="20"/>
      <c r="Y2" s="51" t="s">
        <v>47</v>
      </c>
      <c r="Z2" s="52" t="s">
        <v>48</v>
      </c>
      <c r="AE2" s="1" t="s">
        <v>0</v>
      </c>
      <c r="AF2" s="65" t="s">
        <v>56</v>
      </c>
    </row>
    <row r="3" spans="2:34" x14ac:dyDescent="0.3">
      <c r="H3" s="2"/>
      <c r="J3" s="20"/>
      <c r="M3" s="2"/>
      <c r="O3" s="20"/>
      <c r="R3" s="2"/>
      <c r="T3" s="20"/>
      <c r="Y3" s="53">
        <f>S21</f>
        <v>0.16087775282170655</v>
      </c>
      <c r="Z3" s="54">
        <f>S51</f>
        <v>0</v>
      </c>
      <c r="AF3" s="65" t="s">
        <v>57</v>
      </c>
    </row>
    <row r="4" spans="2:34" x14ac:dyDescent="0.3">
      <c r="B4" s="31" t="s">
        <v>17</v>
      </c>
      <c r="C4" s="32" t="s">
        <v>13</v>
      </c>
      <c r="D4" s="33" t="s">
        <v>15</v>
      </c>
      <c r="G4" s="31" t="s">
        <v>17</v>
      </c>
      <c r="H4" s="32" t="s">
        <v>13</v>
      </c>
      <c r="I4" s="33" t="s">
        <v>15</v>
      </c>
      <c r="J4" s="20"/>
      <c r="L4" s="31" t="s">
        <v>17</v>
      </c>
      <c r="M4" s="32" t="s">
        <v>13</v>
      </c>
      <c r="N4" s="33" t="s">
        <v>15</v>
      </c>
      <c r="O4" s="20"/>
      <c r="Q4" s="31" t="s">
        <v>17</v>
      </c>
      <c r="R4" s="32" t="s">
        <v>13</v>
      </c>
      <c r="S4" s="33" t="s">
        <v>15</v>
      </c>
      <c r="T4" s="20"/>
      <c r="Y4" s="53">
        <f>D21</f>
        <v>0.2</v>
      </c>
      <c r="Z4" s="55">
        <f>D51</f>
        <v>13682.52103773586</v>
      </c>
      <c r="AE4" s="31" t="s">
        <v>17</v>
      </c>
      <c r="AF4" s="32" t="s">
        <v>13</v>
      </c>
      <c r="AG4" s="33" t="s">
        <v>15</v>
      </c>
    </row>
    <row r="5" spans="2:34" x14ac:dyDescent="0.3">
      <c r="B5" s="28"/>
      <c r="C5" s="29"/>
      <c r="D5" s="30"/>
      <c r="G5" s="28"/>
      <c r="H5" s="29"/>
      <c r="I5" s="30"/>
      <c r="J5" s="20"/>
      <c r="L5" s="28"/>
      <c r="M5" s="29"/>
      <c r="N5" s="30"/>
      <c r="O5" s="20"/>
      <c r="Q5" s="28"/>
      <c r="R5" s="29"/>
      <c r="S5" s="30"/>
      <c r="T5" s="20"/>
      <c r="Y5" s="53">
        <f>I21</f>
        <v>0.35</v>
      </c>
      <c r="Z5" s="54">
        <f>I51</f>
        <v>66143.161816037726</v>
      </c>
      <c r="AE5" s="28"/>
      <c r="AF5" s="29"/>
      <c r="AG5" s="30"/>
    </row>
    <row r="6" spans="2:34" x14ac:dyDescent="0.3">
      <c r="B6" s="8" t="s">
        <v>1</v>
      </c>
      <c r="C6" s="9">
        <v>686530</v>
      </c>
      <c r="D6" s="10">
        <f>(1+$D$21)*C6</f>
        <v>823836</v>
      </c>
      <c r="G6" s="8" t="s">
        <v>1</v>
      </c>
      <c r="H6" s="9">
        <v>686530</v>
      </c>
      <c r="I6" s="10">
        <f>(1+$I$21)*H6</f>
        <v>926815.50000000012</v>
      </c>
      <c r="J6" s="20"/>
      <c r="L6" s="8" t="s">
        <v>1</v>
      </c>
      <c r="M6" s="9">
        <v>686530</v>
      </c>
      <c r="N6" s="10">
        <f>(1+$N$21)*M6</f>
        <v>961141.99999999988</v>
      </c>
      <c r="O6" s="20"/>
      <c r="Q6" s="8" t="s">
        <v>1</v>
      </c>
      <c r="R6" s="9">
        <v>686530</v>
      </c>
      <c r="S6" s="10">
        <f>(1+$S$21)*R6</f>
        <v>796977.4036446861</v>
      </c>
      <c r="T6" s="20"/>
      <c r="Y6" s="56">
        <f>N21</f>
        <v>0.4</v>
      </c>
      <c r="Z6" s="57">
        <f>N51</f>
        <v>83630.04207547172</v>
      </c>
      <c r="AE6" s="8" t="s">
        <v>1</v>
      </c>
      <c r="AF6" s="9">
        <v>686530</v>
      </c>
      <c r="AG6" s="10">
        <f>(1+$AG$21)*AF6</f>
        <v>780756.32414104347</v>
      </c>
    </row>
    <row r="7" spans="2:34" x14ac:dyDescent="0.3">
      <c r="B7" s="8" t="s">
        <v>2</v>
      </c>
      <c r="C7" s="9">
        <v>554420</v>
      </c>
      <c r="D7" s="10">
        <f t="shared" ref="D7:D8" si="0">(1+$D$21)*C7</f>
        <v>665304</v>
      </c>
      <c r="G7" s="8" t="s">
        <v>2</v>
      </c>
      <c r="H7" s="9">
        <v>554420</v>
      </c>
      <c r="I7" s="10">
        <f t="shared" ref="I7:I8" si="1">(1+$I$21)*H7</f>
        <v>748467</v>
      </c>
      <c r="J7" s="20"/>
      <c r="L7" s="8" t="s">
        <v>2</v>
      </c>
      <c r="M7" s="9">
        <v>554420</v>
      </c>
      <c r="N7" s="10">
        <f t="shared" ref="N7:N8" si="2">(1+$N$21)*M7</f>
        <v>776188</v>
      </c>
      <c r="O7" s="20"/>
      <c r="Q7" s="8" t="s">
        <v>2</v>
      </c>
      <c r="R7" s="9">
        <v>554420</v>
      </c>
      <c r="S7" s="10">
        <f t="shared" ref="S7:S8" si="3">(1+$S$21)*R7</f>
        <v>643613.84371941048</v>
      </c>
      <c r="T7" s="20"/>
      <c r="AE7" s="8" t="s">
        <v>2</v>
      </c>
      <c r="AF7" s="9">
        <v>554420</v>
      </c>
      <c r="AG7" s="10">
        <f>(1+$AG$21)*AF7</f>
        <v>630514.21093073476</v>
      </c>
    </row>
    <row r="8" spans="2:34" x14ac:dyDescent="0.3">
      <c r="B8" s="11" t="s">
        <v>3</v>
      </c>
      <c r="C8" s="3">
        <v>14020</v>
      </c>
      <c r="D8" s="12">
        <f t="shared" si="0"/>
        <v>16824</v>
      </c>
      <c r="G8" s="11" t="s">
        <v>3</v>
      </c>
      <c r="H8" s="3">
        <v>14020</v>
      </c>
      <c r="I8" s="12">
        <f t="shared" si="1"/>
        <v>18927</v>
      </c>
      <c r="J8" s="20"/>
      <c r="L8" s="11" t="s">
        <v>3</v>
      </c>
      <c r="M8" s="3">
        <v>14020</v>
      </c>
      <c r="N8" s="12">
        <f t="shared" si="2"/>
        <v>19628</v>
      </c>
      <c r="O8" s="20"/>
      <c r="Q8" s="11" t="s">
        <v>3</v>
      </c>
      <c r="R8" s="3">
        <v>14020</v>
      </c>
      <c r="S8" s="12">
        <f t="shared" si="3"/>
        <v>16275.506094560325</v>
      </c>
      <c r="T8" s="20"/>
      <c r="AE8" s="11" t="s">
        <v>3</v>
      </c>
      <c r="AF8" s="3">
        <v>14020</v>
      </c>
      <c r="AG8" s="12">
        <f t="shared" ref="AG8" si="4">(1+$AG$21)*AF8</f>
        <v>15944.246667235851</v>
      </c>
    </row>
    <row r="9" spans="2:34" x14ac:dyDescent="0.3">
      <c r="B9" s="8" t="s">
        <v>4</v>
      </c>
      <c r="C9" s="9">
        <f>C6-C7-C8</f>
        <v>118090</v>
      </c>
      <c r="D9" s="13">
        <f>D6-D7-D8</f>
        <v>141708</v>
      </c>
      <c r="G9" s="8" t="s">
        <v>4</v>
      </c>
      <c r="H9" s="9">
        <f>H6-H7-H8</f>
        <v>118090</v>
      </c>
      <c r="I9" s="13">
        <f>I6-I7-I8</f>
        <v>159421.50000000012</v>
      </c>
      <c r="J9" s="20"/>
      <c r="L9" s="8" t="s">
        <v>4</v>
      </c>
      <c r="M9" s="9">
        <f>M6-M7-M8</f>
        <v>118090</v>
      </c>
      <c r="N9" s="13">
        <f>N6-N7-N8</f>
        <v>165325.99999999988</v>
      </c>
      <c r="O9" s="20"/>
      <c r="Q9" s="8" t="s">
        <v>4</v>
      </c>
      <c r="R9" s="9">
        <f>R6-R7-R8</f>
        <v>118090</v>
      </c>
      <c r="S9" s="13">
        <f>S6-S7-S8</f>
        <v>137088.0538307153</v>
      </c>
      <c r="T9" s="20"/>
      <c r="AE9" s="8" t="s">
        <v>4</v>
      </c>
      <c r="AF9" s="9">
        <f>AF6-AF7-AF8</f>
        <v>118090</v>
      </c>
      <c r="AG9" s="13">
        <f>AG6-AG7-AG8</f>
        <v>134297.86654307286</v>
      </c>
    </row>
    <row r="10" spans="2:34" x14ac:dyDescent="0.3">
      <c r="B10" s="11" t="s">
        <v>5</v>
      </c>
      <c r="C10" s="3">
        <v>12090</v>
      </c>
      <c r="D10" s="12">
        <f>C10</f>
        <v>12090</v>
      </c>
      <c r="E10" s="20" t="s">
        <v>16</v>
      </c>
      <c r="G10" s="11" t="s">
        <v>5</v>
      </c>
      <c r="H10" s="3">
        <v>12090</v>
      </c>
      <c r="I10" s="12">
        <f>H10</f>
        <v>12090</v>
      </c>
      <c r="J10" s="20" t="s">
        <v>16</v>
      </c>
      <c r="L10" s="11" t="s">
        <v>5</v>
      </c>
      <c r="M10" s="3">
        <v>12090</v>
      </c>
      <c r="N10" s="12">
        <f>M10</f>
        <v>12090</v>
      </c>
      <c r="O10" s="20" t="s">
        <v>16</v>
      </c>
      <c r="Q10" s="11" t="s">
        <v>5</v>
      </c>
      <c r="R10" s="3">
        <v>12090</v>
      </c>
      <c r="S10" s="12">
        <f>R10</f>
        <v>12090</v>
      </c>
      <c r="T10" s="20" t="s">
        <v>16</v>
      </c>
      <c r="AE10" s="11" t="s">
        <v>5</v>
      </c>
      <c r="AF10" s="3">
        <v>12090</v>
      </c>
      <c r="AG10" s="12">
        <f>(1+$AG$21)*AF10</f>
        <v>13749.353937723356</v>
      </c>
      <c r="AH10" s="63" t="s">
        <v>60</v>
      </c>
    </row>
    <row r="11" spans="2:34" x14ac:dyDescent="0.3">
      <c r="B11" s="8" t="s">
        <v>6</v>
      </c>
      <c r="C11" s="9">
        <v>106000</v>
      </c>
      <c r="D11" s="13">
        <f>D9-D10</f>
        <v>129618</v>
      </c>
      <c r="G11" s="8" t="s">
        <v>6</v>
      </c>
      <c r="H11" s="9">
        <v>106000</v>
      </c>
      <c r="I11" s="13">
        <f>I9-I10</f>
        <v>147331.50000000012</v>
      </c>
      <c r="J11" s="20"/>
      <c r="L11" s="8" t="s">
        <v>6</v>
      </c>
      <c r="M11" s="9">
        <v>106000</v>
      </c>
      <c r="N11" s="13">
        <f>N9-N10</f>
        <v>153235.99999999988</v>
      </c>
      <c r="O11" s="20"/>
      <c r="Q11" s="8" t="s">
        <v>6</v>
      </c>
      <c r="R11" s="9">
        <v>106000</v>
      </c>
      <c r="S11" s="13">
        <f>S9-S10</f>
        <v>124998.0538307153</v>
      </c>
      <c r="T11" s="20"/>
      <c r="AE11" s="8" t="s">
        <v>6</v>
      </c>
      <c r="AF11" s="9">
        <v>106000</v>
      </c>
      <c r="AG11" s="13">
        <f>AG9-AG10</f>
        <v>120548.5126053495</v>
      </c>
    </row>
    <row r="12" spans="2:34" x14ac:dyDescent="0.3">
      <c r="B12" s="11" t="s">
        <v>7</v>
      </c>
      <c r="C12" s="3">
        <v>22260</v>
      </c>
      <c r="D12" s="14">
        <f>$C$18*D11</f>
        <v>27219.78</v>
      </c>
      <c r="G12" s="11" t="s">
        <v>7</v>
      </c>
      <c r="H12" s="3">
        <v>22260</v>
      </c>
      <c r="I12" s="14">
        <f>$H$18*I11</f>
        <v>30939.615000000023</v>
      </c>
      <c r="J12" s="20"/>
      <c r="L12" s="11" t="s">
        <v>7</v>
      </c>
      <c r="M12" s="3">
        <v>22260</v>
      </c>
      <c r="N12" s="14">
        <f>$H$18*N11</f>
        <v>32179.559999999976</v>
      </c>
      <c r="O12" s="20"/>
      <c r="Q12" s="11" t="s">
        <v>7</v>
      </c>
      <c r="R12" s="3">
        <v>22260</v>
      </c>
      <c r="S12" s="14">
        <f>$H$18*S11</f>
        <v>26249.591304450212</v>
      </c>
      <c r="T12" s="20"/>
      <c r="AE12" s="11" t="s">
        <v>7</v>
      </c>
      <c r="AF12" s="3">
        <v>22260</v>
      </c>
      <c r="AG12" s="14">
        <f>$H$18*AG11</f>
        <v>25315.187647123395</v>
      </c>
    </row>
    <row r="13" spans="2:34" ht="11.65" thickBot="1" x14ac:dyDescent="0.35">
      <c r="B13" s="15" t="s">
        <v>8</v>
      </c>
      <c r="C13" s="16">
        <f>C11-C12</f>
        <v>83740</v>
      </c>
      <c r="D13" s="17">
        <f>D11-D12</f>
        <v>102398.22</v>
      </c>
      <c r="G13" s="15" t="s">
        <v>8</v>
      </c>
      <c r="H13" s="16">
        <f>H11-H12</f>
        <v>83740</v>
      </c>
      <c r="I13" s="17">
        <f>I11-I12</f>
        <v>116391.8850000001</v>
      </c>
      <c r="J13" s="20"/>
      <c r="L13" s="15" t="s">
        <v>8</v>
      </c>
      <c r="M13" s="16">
        <f>M11-M12</f>
        <v>83740</v>
      </c>
      <c r="N13" s="17">
        <f>N11-N12</f>
        <v>121056.43999999992</v>
      </c>
      <c r="O13" s="20"/>
      <c r="Q13" s="15" t="s">
        <v>8</v>
      </c>
      <c r="R13" s="16">
        <f>R11-R12</f>
        <v>83740</v>
      </c>
      <c r="S13" s="17">
        <f>S11-S12</f>
        <v>98748.462526265095</v>
      </c>
      <c r="T13" s="20"/>
      <c r="AE13" s="15" t="s">
        <v>8</v>
      </c>
      <c r="AF13" s="16">
        <f>AF11-AF12</f>
        <v>83740</v>
      </c>
      <c r="AG13" s="17">
        <f>AG11-AG12</f>
        <v>95233.324958226105</v>
      </c>
    </row>
    <row r="14" spans="2:34" ht="11.65" thickTop="1" x14ac:dyDescent="0.3">
      <c r="H14" s="2"/>
      <c r="J14" s="20"/>
      <c r="M14" s="2"/>
      <c r="O14" s="20"/>
      <c r="R14" s="2"/>
      <c r="T14" s="20"/>
      <c r="AF14" s="2"/>
    </row>
    <row r="15" spans="2:34" x14ac:dyDescent="0.3">
      <c r="B15" s="1" t="s">
        <v>9</v>
      </c>
      <c r="C15" s="2">
        <v>27475</v>
      </c>
      <c r="D15" s="2">
        <f>D13*C19</f>
        <v>33596.741037735854</v>
      </c>
      <c r="G15" s="1" t="s">
        <v>9</v>
      </c>
      <c r="H15" s="2">
        <v>27475</v>
      </c>
      <c r="I15" s="2">
        <f>I13*H19</f>
        <v>38188.046816037771</v>
      </c>
      <c r="J15" s="20"/>
      <c r="L15" s="1" t="s">
        <v>9</v>
      </c>
      <c r="M15" s="2">
        <v>27475</v>
      </c>
      <c r="N15" s="2">
        <f>N13*M19</f>
        <v>39718.482075471671</v>
      </c>
      <c r="O15" s="20"/>
      <c r="Q15" s="1" t="s">
        <v>9</v>
      </c>
      <c r="R15" s="2">
        <v>27475</v>
      </c>
      <c r="S15" s="2">
        <f>S13*R19</f>
        <v>32399.259707536825</v>
      </c>
      <c r="T15" s="20"/>
      <c r="AE15" s="1" t="s">
        <v>9</v>
      </c>
      <c r="AF15" s="2">
        <v>27475</v>
      </c>
      <c r="AG15" s="2">
        <f>AG13*AF19</f>
        <v>31245.947017282808</v>
      </c>
    </row>
    <row r="16" spans="2:34" x14ac:dyDescent="0.3">
      <c r="B16" s="1" t="s">
        <v>10</v>
      </c>
      <c r="C16" s="2">
        <f>C13-C15</f>
        <v>56265</v>
      </c>
      <c r="D16" s="2">
        <f>D13-D15</f>
        <v>68801.47896226414</v>
      </c>
      <c r="G16" s="1" t="s">
        <v>10</v>
      </c>
      <c r="H16" s="2">
        <f>H13-H15</f>
        <v>56265</v>
      </c>
      <c r="I16" s="2">
        <f>I13-I15</f>
        <v>78203.838183962333</v>
      </c>
      <c r="J16" s="20"/>
      <c r="L16" s="1" t="s">
        <v>10</v>
      </c>
      <c r="M16" s="2">
        <f>M13-M15</f>
        <v>56265</v>
      </c>
      <c r="N16" s="2">
        <f>N13-N15</f>
        <v>81337.957924528251</v>
      </c>
      <c r="O16" s="20"/>
      <c r="Q16" s="1" t="s">
        <v>10</v>
      </c>
      <c r="R16" s="2">
        <f>R13-R15</f>
        <v>56265</v>
      </c>
      <c r="S16" s="2">
        <f>S13-S15</f>
        <v>66349.20281872827</v>
      </c>
      <c r="T16" s="20"/>
      <c r="AE16" s="1" t="s">
        <v>10</v>
      </c>
      <c r="AF16" s="2">
        <f>AF13-AF15</f>
        <v>56265</v>
      </c>
      <c r="AG16" s="2">
        <f>AG13-AG15</f>
        <v>63987.377940943297</v>
      </c>
    </row>
    <row r="17" spans="2:33" x14ac:dyDescent="0.3">
      <c r="H17" s="2"/>
      <c r="J17" s="20"/>
      <c r="M17" s="2"/>
      <c r="O17" s="20"/>
      <c r="R17" s="2"/>
      <c r="T17" s="20"/>
      <c r="AF17" s="2"/>
    </row>
    <row r="18" spans="2:33" x14ac:dyDescent="0.3">
      <c r="B18" s="1" t="s">
        <v>12</v>
      </c>
      <c r="C18" s="5">
        <f>C12/C11</f>
        <v>0.21</v>
      </c>
      <c r="D18" s="5">
        <f>D12/D11</f>
        <v>0.21</v>
      </c>
      <c r="E18" s="20" t="s">
        <v>16</v>
      </c>
      <c r="G18" s="1" t="s">
        <v>12</v>
      </c>
      <c r="H18" s="5">
        <f>H12/H11</f>
        <v>0.21</v>
      </c>
      <c r="I18" s="5">
        <f>I12/I11</f>
        <v>0.21</v>
      </c>
      <c r="J18" s="20" t="s">
        <v>16</v>
      </c>
      <c r="L18" s="1" t="s">
        <v>12</v>
      </c>
      <c r="M18" s="5">
        <f>M12/M11</f>
        <v>0.21</v>
      </c>
      <c r="N18" s="5">
        <f>N12/N11</f>
        <v>0.21</v>
      </c>
      <c r="O18" s="20" t="s">
        <v>16</v>
      </c>
      <c r="Q18" s="1" t="s">
        <v>12</v>
      </c>
      <c r="R18" s="5">
        <f>R12/R11</f>
        <v>0.21</v>
      </c>
      <c r="S18" s="5">
        <f>S12/S11</f>
        <v>0.21</v>
      </c>
      <c r="T18" s="20" t="s">
        <v>16</v>
      </c>
      <c r="AE18" s="1" t="s">
        <v>12</v>
      </c>
      <c r="AF18" s="5">
        <f>AF12/AF11</f>
        <v>0.21</v>
      </c>
      <c r="AG18" s="5">
        <f>AG12/AG11</f>
        <v>0.21</v>
      </c>
    </row>
    <row r="19" spans="2:33" x14ac:dyDescent="0.3">
      <c r="B19" s="1" t="s">
        <v>11</v>
      </c>
      <c r="C19" s="5">
        <f>C15/C13</f>
        <v>0.32809887747790784</v>
      </c>
      <c r="D19" s="5">
        <f>D15/D13</f>
        <v>0.32809887747790784</v>
      </c>
      <c r="E19" s="20" t="s">
        <v>16</v>
      </c>
      <c r="G19" s="1" t="s">
        <v>11</v>
      </c>
      <c r="H19" s="5">
        <f>H15/H13</f>
        <v>0.32809887747790784</v>
      </c>
      <c r="I19" s="5">
        <f>I15/I13</f>
        <v>0.32809887747790784</v>
      </c>
      <c r="J19" s="20" t="s">
        <v>16</v>
      </c>
      <c r="L19" s="1" t="s">
        <v>11</v>
      </c>
      <c r="M19" s="5">
        <f>M15/M13</f>
        <v>0.32809887747790784</v>
      </c>
      <c r="N19" s="5">
        <f>N15/N13</f>
        <v>0.32809887747790784</v>
      </c>
      <c r="O19" s="20" t="s">
        <v>16</v>
      </c>
      <c r="Q19" s="1" t="s">
        <v>11</v>
      </c>
      <c r="R19" s="5">
        <f>R15/R13</f>
        <v>0.32809887747790784</v>
      </c>
      <c r="S19" s="5">
        <f>S15/S13</f>
        <v>0.32809887747790784</v>
      </c>
      <c r="T19" s="20" t="s">
        <v>16</v>
      </c>
      <c r="AE19" s="1" t="s">
        <v>11</v>
      </c>
      <c r="AF19" s="5">
        <f>AF15/AF13</f>
        <v>0.32809887747790784</v>
      </c>
      <c r="AG19" s="5">
        <f>AG15/AG13</f>
        <v>0.32809887747790784</v>
      </c>
    </row>
    <row r="20" spans="2:33" x14ac:dyDescent="0.3">
      <c r="H20" s="2"/>
      <c r="J20" s="20"/>
      <c r="M20" s="2"/>
      <c r="O20" s="20"/>
      <c r="R20" s="2"/>
      <c r="T20" s="20"/>
      <c r="AF20" s="2"/>
    </row>
    <row r="21" spans="2:33" x14ac:dyDescent="0.3">
      <c r="B21" s="1" t="s">
        <v>14</v>
      </c>
      <c r="D21" s="4">
        <v>0.2</v>
      </c>
      <c r="G21" s="1" t="s">
        <v>14</v>
      </c>
      <c r="H21" s="2"/>
      <c r="I21" s="4">
        <f>D21+15%</f>
        <v>0.35</v>
      </c>
      <c r="J21" s="20"/>
      <c r="L21" s="1" t="s">
        <v>14</v>
      </c>
      <c r="M21" s="2"/>
      <c r="N21" s="4">
        <f>D21+20%</f>
        <v>0.4</v>
      </c>
      <c r="O21" s="20"/>
      <c r="Q21" s="1" t="s">
        <v>14</v>
      </c>
      <c r="R21" s="2"/>
      <c r="S21" s="48">
        <v>0.16087775282170655</v>
      </c>
      <c r="T21" s="20"/>
      <c r="AE21" s="1" t="s">
        <v>14</v>
      </c>
      <c r="AF21" s="2"/>
      <c r="AG21" s="48">
        <v>0.13725011891839164</v>
      </c>
    </row>
    <row r="22" spans="2:33" x14ac:dyDescent="0.3">
      <c r="H22" s="2"/>
      <c r="J22" s="20"/>
      <c r="M22" s="2"/>
      <c r="O22" s="20"/>
      <c r="R22" s="2"/>
      <c r="T22" s="20"/>
      <c r="AF22" s="2"/>
    </row>
    <row r="23" spans="2:33" x14ac:dyDescent="0.3">
      <c r="H23" s="2"/>
      <c r="J23" s="20"/>
      <c r="M23" s="2"/>
      <c r="O23" s="20"/>
      <c r="R23" s="2"/>
      <c r="T23" s="20"/>
      <c r="AF23" s="2"/>
    </row>
    <row r="24" spans="2:33" x14ac:dyDescent="0.3">
      <c r="B24" s="31" t="s">
        <v>18</v>
      </c>
      <c r="C24" s="32" t="s">
        <v>13</v>
      </c>
      <c r="D24" s="33" t="s">
        <v>15</v>
      </c>
      <c r="G24" s="31" t="s">
        <v>18</v>
      </c>
      <c r="H24" s="32" t="s">
        <v>13</v>
      </c>
      <c r="I24" s="33" t="s">
        <v>15</v>
      </c>
      <c r="J24" s="20"/>
      <c r="L24" s="31" t="s">
        <v>18</v>
      </c>
      <c r="M24" s="32" t="s">
        <v>13</v>
      </c>
      <c r="N24" s="33" t="s">
        <v>15</v>
      </c>
      <c r="O24" s="20"/>
      <c r="Q24" s="31" t="s">
        <v>18</v>
      </c>
      <c r="R24" s="32" t="s">
        <v>13</v>
      </c>
      <c r="S24" s="33" t="s">
        <v>15</v>
      </c>
      <c r="T24" s="20"/>
      <c r="AE24" s="31" t="s">
        <v>18</v>
      </c>
      <c r="AF24" s="32" t="s">
        <v>13</v>
      </c>
      <c r="AG24" s="33" t="s">
        <v>15</v>
      </c>
    </row>
    <row r="25" spans="2:33" x14ac:dyDescent="0.3">
      <c r="B25" s="28"/>
      <c r="C25" s="29"/>
      <c r="D25" s="30"/>
      <c r="G25" s="28"/>
      <c r="H25" s="29"/>
      <c r="I25" s="30"/>
      <c r="J25" s="20"/>
      <c r="L25" s="28"/>
      <c r="M25" s="29"/>
      <c r="N25" s="30"/>
      <c r="O25" s="20"/>
      <c r="Q25" s="28"/>
      <c r="R25" s="29"/>
      <c r="S25" s="30"/>
      <c r="T25" s="20"/>
      <c r="AE25" s="28"/>
      <c r="AF25" s="29"/>
      <c r="AG25" s="30"/>
    </row>
    <row r="26" spans="2:33" x14ac:dyDescent="0.3">
      <c r="B26" s="8" t="s">
        <v>34</v>
      </c>
      <c r="C26" s="9"/>
      <c r="D26" s="25"/>
      <c r="G26" s="8" t="s">
        <v>34</v>
      </c>
      <c r="H26" s="9"/>
      <c r="I26" s="25"/>
      <c r="J26" s="20"/>
      <c r="L26" s="8" t="s">
        <v>34</v>
      </c>
      <c r="M26" s="9"/>
      <c r="N26" s="25"/>
      <c r="O26" s="20"/>
      <c r="Q26" s="8" t="s">
        <v>34</v>
      </c>
      <c r="R26" s="9"/>
      <c r="S26" s="25"/>
      <c r="T26" s="20"/>
      <c r="AE26" s="8" t="s">
        <v>34</v>
      </c>
      <c r="AF26" s="9"/>
      <c r="AG26" s="25"/>
    </row>
    <row r="27" spans="2:33" x14ac:dyDescent="0.3">
      <c r="B27" s="21" t="s">
        <v>19</v>
      </c>
      <c r="C27" s="9">
        <v>20940</v>
      </c>
      <c r="D27" s="10">
        <f>(1+$D$21)*C27</f>
        <v>25128</v>
      </c>
      <c r="G27" s="21" t="s">
        <v>19</v>
      </c>
      <c r="H27" s="9">
        <v>20940</v>
      </c>
      <c r="I27" s="10">
        <f>(1+$I$21)*H27</f>
        <v>28269.000000000004</v>
      </c>
      <c r="J27" s="20"/>
      <c r="L27" s="21" t="s">
        <v>19</v>
      </c>
      <c r="M27" s="9">
        <v>20940</v>
      </c>
      <c r="N27" s="10">
        <f t="shared" ref="N27:N29" si="5">(1+$N$21)*M27</f>
        <v>29315.999999999996</v>
      </c>
      <c r="O27" s="20"/>
      <c r="Q27" s="21" t="s">
        <v>19</v>
      </c>
      <c r="R27" s="9">
        <v>20940</v>
      </c>
      <c r="S27" s="10">
        <f t="shared" ref="S27:S29" si="6">(1+$S$21)*R27</f>
        <v>24308.780144086533</v>
      </c>
      <c r="T27" s="20"/>
      <c r="AE27" s="21" t="s">
        <v>19</v>
      </c>
      <c r="AF27" s="9">
        <v>20940</v>
      </c>
      <c r="AG27" s="10">
        <f t="shared" ref="AG27:AG29" si="7">(1+$AG$21)*AF27</f>
        <v>23814.01749015112</v>
      </c>
    </row>
    <row r="28" spans="2:33" x14ac:dyDescent="0.3">
      <c r="B28" s="21" t="s">
        <v>20</v>
      </c>
      <c r="C28" s="9">
        <v>31970</v>
      </c>
      <c r="D28" s="10">
        <f>(1+$D$21)*C28</f>
        <v>38364</v>
      </c>
      <c r="G28" s="21" t="s">
        <v>20</v>
      </c>
      <c r="H28" s="9">
        <v>31970</v>
      </c>
      <c r="I28" s="10">
        <f t="shared" ref="I28:I29" si="8">(1+$I$21)*H28</f>
        <v>43159.5</v>
      </c>
      <c r="J28" s="20"/>
      <c r="L28" s="21" t="s">
        <v>20</v>
      </c>
      <c r="M28" s="9">
        <v>31970</v>
      </c>
      <c r="N28" s="10">
        <f t="shared" si="5"/>
        <v>44758</v>
      </c>
      <c r="O28" s="20"/>
      <c r="Q28" s="21" t="s">
        <v>20</v>
      </c>
      <c r="R28" s="9">
        <v>31970</v>
      </c>
      <c r="S28" s="10">
        <f t="shared" si="6"/>
        <v>37113.261757709959</v>
      </c>
      <c r="T28" s="20"/>
      <c r="AE28" s="21" t="s">
        <v>20</v>
      </c>
      <c r="AF28" s="9">
        <v>31970</v>
      </c>
      <c r="AG28" s="10">
        <f t="shared" si="7"/>
        <v>36357.886301820981</v>
      </c>
    </row>
    <row r="29" spans="2:33" x14ac:dyDescent="0.3">
      <c r="B29" s="22" t="s">
        <v>21</v>
      </c>
      <c r="C29" s="3">
        <v>71320</v>
      </c>
      <c r="D29" s="10">
        <f>(1+$D$21)*C29</f>
        <v>85584</v>
      </c>
      <c r="G29" s="22" t="s">
        <v>21</v>
      </c>
      <c r="H29" s="3">
        <v>71320</v>
      </c>
      <c r="I29" s="12">
        <f>(1+$I$21)*H29</f>
        <v>96282</v>
      </c>
      <c r="J29" s="20"/>
      <c r="L29" s="22" t="s">
        <v>21</v>
      </c>
      <c r="M29" s="3">
        <v>71320</v>
      </c>
      <c r="N29" s="12">
        <f t="shared" si="5"/>
        <v>99848</v>
      </c>
      <c r="O29" s="20"/>
      <c r="Q29" s="22" t="s">
        <v>21</v>
      </c>
      <c r="R29" s="3">
        <v>71320</v>
      </c>
      <c r="S29" s="12">
        <f t="shared" si="6"/>
        <v>82793.801331244103</v>
      </c>
      <c r="T29" s="20"/>
      <c r="AE29" s="22" t="s">
        <v>21</v>
      </c>
      <c r="AF29" s="3">
        <v>71320</v>
      </c>
      <c r="AG29" s="12">
        <f t="shared" si="7"/>
        <v>81108.678481259689</v>
      </c>
    </row>
    <row r="30" spans="2:33" x14ac:dyDescent="0.3">
      <c r="B30" s="23" t="s">
        <v>22</v>
      </c>
      <c r="C30" s="19">
        <f>SUM(C27:C29)</f>
        <v>124230</v>
      </c>
      <c r="D30" s="26">
        <f>SUM(D27:D29)</f>
        <v>149076</v>
      </c>
      <c r="G30" s="23" t="s">
        <v>22</v>
      </c>
      <c r="H30" s="19">
        <f>SUM(H27:H29)</f>
        <v>124230</v>
      </c>
      <c r="I30" s="26">
        <f>SUM(I27:I29)</f>
        <v>167710.5</v>
      </c>
      <c r="J30" s="20"/>
      <c r="L30" s="23" t="s">
        <v>22</v>
      </c>
      <c r="M30" s="19">
        <f>SUM(M27:M29)</f>
        <v>124230</v>
      </c>
      <c r="N30" s="26">
        <f>SUM(N27:N29)</f>
        <v>173922</v>
      </c>
      <c r="O30" s="20"/>
      <c r="Q30" s="23" t="s">
        <v>22</v>
      </c>
      <c r="R30" s="19">
        <f>SUM(R27:R29)</f>
        <v>124230</v>
      </c>
      <c r="S30" s="26">
        <f>SUM(S27:S29)</f>
        <v>144215.84323304059</v>
      </c>
      <c r="T30" s="20"/>
      <c r="AE30" s="23" t="s">
        <v>22</v>
      </c>
      <c r="AF30" s="19">
        <f>SUM(AF27:AF29)</f>
        <v>124230</v>
      </c>
      <c r="AG30" s="26">
        <f>SUM(AG27:AG29)</f>
        <v>141280.58227323179</v>
      </c>
    </row>
    <row r="31" spans="2:33" x14ac:dyDescent="0.3">
      <c r="B31" s="8"/>
      <c r="C31" s="9"/>
      <c r="D31" s="25"/>
      <c r="G31" s="8"/>
      <c r="H31" s="9"/>
      <c r="I31" s="25"/>
      <c r="J31" s="20"/>
      <c r="L31" s="8"/>
      <c r="M31" s="9"/>
      <c r="N31" s="25"/>
      <c r="O31" s="20"/>
      <c r="Q31" s="8"/>
      <c r="R31" s="9"/>
      <c r="S31" s="25"/>
      <c r="T31" s="20"/>
      <c r="W31" s="1" t="s">
        <v>49</v>
      </c>
      <c r="AE31" s="8"/>
      <c r="AF31" s="9"/>
      <c r="AG31" s="25"/>
    </row>
    <row r="32" spans="2:33" x14ac:dyDescent="0.3">
      <c r="B32" s="8" t="s">
        <v>33</v>
      </c>
      <c r="C32" s="9"/>
      <c r="D32" s="25"/>
      <c r="G32" s="8" t="s">
        <v>33</v>
      </c>
      <c r="H32" s="9"/>
      <c r="I32" s="25"/>
      <c r="J32" s="20"/>
      <c r="L32" s="8" t="s">
        <v>33</v>
      </c>
      <c r="M32" s="9"/>
      <c r="N32" s="25"/>
      <c r="O32" s="20"/>
      <c r="Q32" s="8" t="s">
        <v>33</v>
      </c>
      <c r="R32" s="9"/>
      <c r="S32" s="25"/>
      <c r="T32" s="20"/>
      <c r="AE32" s="8" t="s">
        <v>33</v>
      </c>
      <c r="AF32" s="9"/>
      <c r="AG32" s="25"/>
    </row>
    <row r="33" spans="2:34" x14ac:dyDescent="0.3">
      <c r="B33" s="22" t="s">
        <v>23</v>
      </c>
      <c r="C33" s="3">
        <v>341980</v>
      </c>
      <c r="D33" s="12">
        <f>(1+$D$21)*C33</f>
        <v>410376</v>
      </c>
      <c r="G33" s="22" t="s">
        <v>23</v>
      </c>
      <c r="H33" s="3">
        <v>341980</v>
      </c>
      <c r="I33" s="12">
        <f>(1+$I$21)*H33</f>
        <v>461673.00000000006</v>
      </c>
      <c r="J33" s="20"/>
      <c r="L33" s="22" t="s">
        <v>23</v>
      </c>
      <c r="M33" s="3">
        <v>341980</v>
      </c>
      <c r="N33" s="12">
        <f t="shared" ref="N33" si="9">(1+$N$21)*M33</f>
        <v>478771.99999999994</v>
      </c>
      <c r="O33" s="20"/>
      <c r="Q33" s="22" t="s">
        <v>23</v>
      </c>
      <c r="R33" s="3">
        <v>341980</v>
      </c>
      <c r="S33" s="12">
        <f t="shared" ref="S33" si="10">(1+$S$21)*R33</f>
        <v>396996.97390996717</v>
      </c>
      <c r="T33" s="20"/>
      <c r="AE33" s="22" t="s">
        <v>23</v>
      </c>
      <c r="AF33" s="3">
        <v>341980</v>
      </c>
      <c r="AG33" s="12">
        <f>(1+$AG$21)*AF33</f>
        <v>388916.79566771159</v>
      </c>
    </row>
    <row r="34" spans="2:34" x14ac:dyDescent="0.3">
      <c r="B34" s="8"/>
      <c r="C34" s="9"/>
      <c r="D34" s="25"/>
      <c r="G34" s="8"/>
      <c r="H34" s="9"/>
      <c r="I34" s="25"/>
      <c r="J34" s="20"/>
      <c r="L34" s="8"/>
      <c r="M34" s="9"/>
      <c r="N34" s="25"/>
      <c r="O34" s="20"/>
      <c r="Q34" s="8"/>
      <c r="R34" s="9"/>
      <c r="S34" s="25"/>
      <c r="T34" s="20"/>
      <c r="AE34" s="8"/>
      <c r="AF34" s="9"/>
      <c r="AG34" s="25"/>
    </row>
    <row r="35" spans="2:34" ht="11.65" thickBot="1" x14ac:dyDescent="0.35">
      <c r="B35" s="24" t="s">
        <v>32</v>
      </c>
      <c r="C35" s="18">
        <f>C30+C33</f>
        <v>466210</v>
      </c>
      <c r="D35" s="27">
        <f>D30+D33</f>
        <v>559452</v>
      </c>
      <c r="G35" s="24" t="s">
        <v>32</v>
      </c>
      <c r="H35" s="18">
        <f>H30+H33</f>
        <v>466210</v>
      </c>
      <c r="I35" s="27">
        <f>I30+I33</f>
        <v>629383.5</v>
      </c>
      <c r="J35" s="20"/>
      <c r="L35" s="24" t="s">
        <v>32</v>
      </c>
      <c r="M35" s="18">
        <f>M30+M33</f>
        <v>466210</v>
      </c>
      <c r="N35" s="27">
        <f>N30+N33</f>
        <v>652694</v>
      </c>
      <c r="O35" s="20"/>
      <c r="Q35" s="24" t="s">
        <v>32</v>
      </c>
      <c r="R35" s="18">
        <f>R30+R33</f>
        <v>466210</v>
      </c>
      <c r="S35" s="27">
        <f>S30+S33</f>
        <v>541212.81714300776</v>
      </c>
      <c r="T35" s="20"/>
      <c r="AE35" s="24" t="s">
        <v>32</v>
      </c>
      <c r="AF35" s="18">
        <f>AF30+AF33</f>
        <v>466210</v>
      </c>
      <c r="AG35" s="27">
        <f>AG30+AG33</f>
        <v>530197.37794094335</v>
      </c>
    </row>
    <row r="36" spans="2:34" ht="11.65" thickTop="1" x14ac:dyDescent="0.3">
      <c r="B36" s="8"/>
      <c r="C36" s="9"/>
      <c r="D36" s="25"/>
      <c r="G36" s="8"/>
      <c r="H36" s="9"/>
      <c r="I36" s="25"/>
      <c r="J36" s="20"/>
      <c r="L36" s="8"/>
      <c r="M36" s="9"/>
      <c r="N36" s="25"/>
      <c r="O36" s="20"/>
      <c r="Q36" s="8"/>
      <c r="R36" s="9"/>
      <c r="S36" s="25"/>
      <c r="T36" s="20"/>
      <c r="AE36" s="8"/>
      <c r="AF36" s="9"/>
      <c r="AG36" s="25"/>
      <c r="AH36" s="63"/>
    </row>
    <row r="37" spans="2:34" x14ac:dyDescent="0.3">
      <c r="B37" s="8" t="s">
        <v>24</v>
      </c>
      <c r="C37" s="9"/>
      <c r="D37" s="25"/>
      <c r="G37" s="8" t="s">
        <v>24</v>
      </c>
      <c r="H37" s="9"/>
      <c r="I37" s="25"/>
      <c r="J37" s="20"/>
      <c r="L37" s="8" t="s">
        <v>24</v>
      </c>
      <c r="M37" s="9"/>
      <c r="N37" s="25"/>
      <c r="O37" s="20"/>
      <c r="Q37" s="8" t="s">
        <v>24</v>
      </c>
      <c r="R37" s="9"/>
      <c r="S37" s="25"/>
      <c r="T37" s="20"/>
      <c r="AE37" s="8" t="s">
        <v>24</v>
      </c>
      <c r="AF37" s="9"/>
      <c r="AG37" s="25"/>
      <c r="AH37" s="63"/>
    </row>
    <row r="38" spans="2:34" x14ac:dyDescent="0.3">
      <c r="B38" s="21" t="s">
        <v>25</v>
      </c>
      <c r="C38" s="9">
        <v>53790</v>
      </c>
      <c r="D38" s="10">
        <f>(1+$D$21)*C38</f>
        <v>64548</v>
      </c>
      <c r="G38" s="21" t="s">
        <v>25</v>
      </c>
      <c r="H38" s="9">
        <v>53790</v>
      </c>
      <c r="I38" s="10">
        <f>(1+$I$21)*H38</f>
        <v>72616.5</v>
      </c>
      <c r="J38" s="20"/>
      <c r="L38" s="21" t="s">
        <v>25</v>
      </c>
      <c r="M38" s="9">
        <v>53790</v>
      </c>
      <c r="N38" s="10">
        <f t="shared" ref="N38" si="11">(1+$N$21)*M38</f>
        <v>75306</v>
      </c>
      <c r="O38" s="20"/>
      <c r="Q38" s="21" t="s">
        <v>25</v>
      </c>
      <c r="R38" s="9">
        <v>53790</v>
      </c>
      <c r="S38" s="10">
        <f t="shared" ref="S38" si="12">(1+$S$21)*R38</f>
        <v>62443.614324279588</v>
      </c>
      <c r="T38" s="20"/>
      <c r="AE38" s="21" t="s">
        <v>25</v>
      </c>
      <c r="AF38" s="9">
        <v>53790</v>
      </c>
      <c r="AG38" s="10">
        <f>AF38</f>
        <v>53790</v>
      </c>
      <c r="AH38" s="63" t="s">
        <v>61</v>
      </c>
    </row>
    <row r="39" spans="2:34" x14ac:dyDescent="0.3">
      <c r="B39" s="22" t="s">
        <v>26</v>
      </c>
      <c r="C39" s="3">
        <v>13215</v>
      </c>
      <c r="D39" s="10">
        <f>C39</f>
        <v>13215</v>
      </c>
      <c r="E39" s="20" t="s">
        <v>16</v>
      </c>
      <c r="G39" s="22" t="s">
        <v>26</v>
      </c>
      <c r="H39" s="3">
        <v>13215</v>
      </c>
      <c r="I39" s="10">
        <f>H39</f>
        <v>13215</v>
      </c>
      <c r="J39" s="20" t="s">
        <v>16</v>
      </c>
      <c r="L39" s="22" t="s">
        <v>26</v>
      </c>
      <c r="M39" s="3">
        <v>13215</v>
      </c>
      <c r="N39" s="10">
        <f>M39</f>
        <v>13215</v>
      </c>
      <c r="O39" s="20" t="s">
        <v>16</v>
      </c>
      <c r="Q39" s="22" t="s">
        <v>26</v>
      </c>
      <c r="R39" s="3">
        <v>13215</v>
      </c>
      <c r="S39" s="10">
        <f>R39</f>
        <v>13215</v>
      </c>
      <c r="T39" s="20" t="s">
        <v>16</v>
      </c>
      <c r="AE39" s="22" t="s">
        <v>26</v>
      </c>
      <c r="AF39" s="3">
        <v>13215</v>
      </c>
      <c r="AG39" s="12">
        <f>AF39</f>
        <v>13215</v>
      </c>
      <c r="AH39" s="63" t="s">
        <v>61</v>
      </c>
    </row>
    <row r="40" spans="2:34" x14ac:dyDescent="0.3">
      <c r="B40" s="23" t="s">
        <v>28</v>
      </c>
      <c r="C40" s="19">
        <f>SUM(C38:C39)</f>
        <v>67005</v>
      </c>
      <c r="D40" s="26">
        <f>SUM(D38:D39)</f>
        <v>77763</v>
      </c>
      <c r="G40" s="23" t="s">
        <v>28</v>
      </c>
      <c r="H40" s="19">
        <f>SUM(H38:H39)</f>
        <v>67005</v>
      </c>
      <c r="I40" s="26">
        <f>SUM(I38:I39)</f>
        <v>85831.5</v>
      </c>
      <c r="J40" s="20"/>
      <c r="L40" s="23" t="s">
        <v>28</v>
      </c>
      <c r="M40" s="19">
        <f>SUM(M38:M39)</f>
        <v>67005</v>
      </c>
      <c r="N40" s="26">
        <f>SUM(N38:N39)</f>
        <v>88521</v>
      </c>
      <c r="O40" s="20"/>
      <c r="Q40" s="23" t="s">
        <v>28</v>
      </c>
      <c r="R40" s="19">
        <f>SUM(R38:R39)</f>
        <v>67005</v>
      </c>
      <c r="S40" s="26">
        <f>SUM(S38:S39)</f>
        <v>75658.614324279595</v>
      </c>
      <c r="T40" s="20"/>
      <c r="AE40" s="23" t="s">
        <v>28</v>
      </c>
      <c r="AF40" s="19">
        <f>SUM(AF38:AF39)</f>
        <v>67005</v>
      </c>
      <c r="AG40" s="26">
        <f>SUM(AG38:AG39)</f>
        <v>67005</v>
      </c>
      <c r="AH40" s="63"/>
    </row>
    <row r="41" spans="2:34" x14ac:dyDescent="0.3">
      <c r="B41" s="8"/>
      <c r="C41" s="9"/>
      <c r="D41" s="25"/>
      <c r="G41" s="8"/>
      <c r="H41" s="9"/>
      <c r="I41" s="25"/>
      <c r="J41" s="20"/>
      <c r="L41" s="8"/>
      <c r="M41" s="9"/>
      <c r="N41" s="25"/>
      <c r="O41" s="20"/>
      <c r="Q41" s="8"/>
      <c r="R41" s="9"/>
      <c r="S41" s="25"/>
      <c r="T41" s="20"/>
      <c r="AE41" s="8"/>
      <c r="AF41" s="9"/>
      <c r="AG41" s="25"/>
      <c r="AH41" s="63"/>
    </row>
    <row r="42" spans="2:34" x14ac:dyDescent="0.3">
      <c r="B42" s="8" t="s">
        <v>27</v>
      </c>
      <c r="C42" s="9">
        <v>127500</v>
      </c>
      <c r="D42" s="10">
        <f>C42</f>
        <v>127500</v>
      </c>
      <c r="E42" s="20" t="s">
        <v>16</v>
      </c>
      <c r="G42" s="8" t="s">
        <v>27</v>
      </c>
      <c r="H42" s="9">
        <v>127500</v>
      </c>
      <c r="I42" s="10">
        <f>H42</f>
        <v>127500</v>
      </c>
      <c r="J42" s="20" t="s">
        <v>16</v>
      </c>
      <c r="L42" s="8" t="s">
        <v>27</v>
      </c>
      <c r="M42" s="9">
        <v>127500</v>
      </c>
      <c r="N42" s="10">
        <f>M42</f>
        <v>127500</v>
      </c>
      <c r="O42" s="20" t="s">
        <v>16</v>
      </c>
      <c r="Q42" s="8" t="s">
        <v>27</v>
      </c>
      <c r="R42" s="9">
        <v>127500</v>
      </c>
      <c r="S42" s="10">
        <f>R42</f>
        <v>127500</v>
      </c>
      <c r="T42" s="20" t="s">
        <v>16</v>
      </c>
      <c r="AE42" s="8" t="s">
        <v>27</v>
      </c>
      <c r="AF42" s="9">
        <v>127500</v>
      </c>
      <c r="AG42" s="10">
        <f>AF42</f>
        <v>127500</v>
      </c>
      <c r="AH42" s="63" t="s">
        <v>61</v>
      </c>
    </row>
    <row r="43" spans="2:34" x14ac:dyDescent="0.3">
      <c r="B43" s="8"/>
      <c r="C43" s="9"/>
      <c r="D43" s="25"/>
      <c r="G43" s="8"/>
      <c r="H43" s="9"/>
      <c r="I43" s="25"/>
      <c r="J43" s="20"/>
      <c r="L43" s="8"/>
      <c r="M43" s="9"/>
      <c r="N43" s="25"/>
      <c r="O43" s="20"/>
      <c r="Q43" s="8"/>
      <c r="R43" s="9"/>
      <c r="S43" s="25"/>
      <c r="T43" s="20"/>
      <c r="AE43" s="8"/>
      <c r="AF43" s="9"/>
      <c r="AG43" s="25"/>
      <c r="AH43" s="63"/>
    </row>
    <row r="44" spans="2:34" x14ac:dyDescent="0.3">
      <c r="B44" s="8" t="s">
        <v>35</v>
      </c>
      <c r="C44" s="9"/>
      <c r="D44" s="25"/>
      <c r="G44" s="8" t="s">
        <v>35</v>
      </c>
      <c r="H44" s="9"/>
      <c r="I44" s="25"/>
      <c r="J44" s="20"/>
      <c r="L44" s="8" t="s">
        <v>35</v>
      </c>
      <c r="M44" s="9"/>
      <c r="N44" s="25"/>
      <c r="O44" s="20"/>
      <c r="Q44" s="8" t="s">
        <v>35</v>
      </c>
      <c r="R44" s="9"/>
      <c r="S44" s="25"/>
      <c r="T44" s="20"/>
      <c r="AE44" s="8" t="s">
        <v>35</v>
      </c>
      <c r="AF44" s="9"/>
      <c r="AG44" s="25"/>
      <c r="AH44" s="63"/>
    </row>
    <row r="45" spans="2:34" x14ac:dyDescent="0.3">
      <c r="B45" s="21" t="s">
        <v>29</v>
      </c>
      <c r="C45" s="9">
        <v>105000</v>
      </c>
      <c r="D45" s="10">
        <f>C45</f>
        <v>105000</v>
      </c>
      <c r="E45" s="20" t="s">
        <v>16</v>
      </c>
      <c r="G45" s="21" t="s">
        <v>29</v>
      </c>
      <c r="H45" s="9">
        <v>105000</v>
      </c>
      <c r="I45" s="10">
        <f>H45</f>
        <v>105000</v>
      </c>
      <c r="J45" s="20" t="s">
        <v>16</v>
      </c>
      <c r="L45" s="21" t="s">
        <v>29</v>
      </c>
      <c r="M45" s="9">
        <v>105000</v>
      </c>
      <c r="N45" s="10">
        <f>M45</f>
        <v>105000</v>
      </c>
      <c r="O45" s="20" t="s">
        <v>16</v>
      </c>
      <c r="Q45" s="21" t="s">
        <v>29</v>
      </c>
      <c r="R45" s="9">
        <v>105000</v>
      </c>
      <c r="S45" s="10">
        <f>R45</f>
        <v>105000</v>
      </c>
      <c r="T45" s="20" t="s">
        <v>16</v>
      </c>
      <c r="AE45" s="21" t="s">
        <v>29</v>
      </c>
      <c r="AF45" s="9">
        <v>105000</v>
      </c>
      <c r="AG45" s="10">
        <f>AF45</f>
        <v>105000</v>
      </c>
      <c r="AH45" s="63" t="s">
        <v>61</v>
      </c>
    </row>
    <row r="46" spans="2:34" x14ac:dyDescent="0.3">
      <c r="B46" s="22" t="s">
        <v>30</v>
      </c>
      <c r="C46" s="3">
        <v>166705</v>
      </c>
      <c r="D46" s="14">
        <f>C46+D16</f>
        <v>235506.47896226414</v>
      </c>
      <c r="G46" s="22" t="s">
        <v>30</v>
      </c>
      <c r="H46" s="3">
        <v>166705</v>
      </c>
      <c r="I46" s="14">
        <f>H46+I16</f>
        <v>244908.83818396233</v>
      </c>
      <c r="J46" s="20"/>
      <c r="L46" s="22" t="s">
        <v>30</v>
      </c>
      <c r="M46" s="3">
        <v>166705</v>
      </c>
      <c r="N46" s="14">
        <f>M46+N16</f>
        <v>248042.95792452825</v>
      </c>
      <c r="O46" s="20"/>
      <c r="Q46" s="22" t="s">
        <v>30</v>
      </c>
      <c r="R46" s="3">
        <v>166705</v>
      </c>
      <c r="S46" s="14">
        <f>R46+S16</f>
        <v>233054.20281872828</v>
      </c>
      <c r="T46" s="20"/>
      <c r="AE46" s="22" t="s">
        <v>30</v>
      </c>
      <c r="AF46" s="3">
        <v>166705</v>
      </c>
      <c r="AG46" s="14">
        <f>AF46+AG16</f>
        <v>230692.37794094329</v>
      </c>
      <c r="AH46" s="63"/>
    </row>
    <row r="47" spans="2:34" x14ac:dyDescent="0.3">
      <c r="B47" s="23" t="s">
        <v>42</v>
      </c>
      <c r="C47" s="19">
        <f>SUM(C45:C46)</f>
        <v>271705</v>
      </c>
      <c r="D47" s="26">
        <f>SUM(D45:D46)</f>
        <v>340506.47896226414</v>
      </c>
      <c r="G47" s="23" t="s">
        <v>42</v>
      </c>
      <c r="H47" s="19">
        <f>SUM(H45:H46)</f>
        <v>271705</v>
      </c>
      <c r="I47" s="26">
        <f>SUM(I45:I46)</f>
        <v>349908.83818396233</v>
      </c>
      <c r="J47" s="20"/>
      <c r="L47" s="23" t="s">
        <v>42</v>
      </c>
      <c r="M47" s="19">
        <f>SUM(M45:M46)</f>
        <v>271705</v>
      </c>
      <c r="N47" s="26">
        <f>SUM(N45:N46)</f>
        <v>353042.95792452828</v>
      </c>
      <c r="O47" s="20"/>
      <c r="Q47" s="23" t="s">
        <v>42</v>
      </c>
      <c r="R47" s="19">
        <f>SUM(R45:R46)</f>
        <v>271705</v>
      </c>
      <c r="S47" s="26">
        <f>SUM(S45:S46)</f>
        <v>338054.20281872828</v>
      </c>
      <c r="T47" s="20"/>
      <c r="AE47" s="23" t="s">
        <v>42</v>
      </c>
      <c r="AF47" s="19">
        <f>SUM(AF45:AF46)</f>
        <v>271705</v>
      </c>
      <c r="AG47" s="26">
        <f>SUM(AG45:AG46)</f>
        <v>335692.37794094329</v>
      </c>
    </row>
    <row r="48" spans="2:34" x14ac:dyDescent="0.3">
      <c r="B48" s="8"/>
      <c r="C48" s="9"/>
      <c r="D48" s="25"/>
      <c r="G48" s="8"/>
      <c r="H48" s="9"/>
      <c r="I48" s="25"/>
      <c r="J48" s="20"/>
      <c r="L48" s="8"/>
      <c r="M48" s="9"/>
      <c r="N48" s="25"/>
      <c r="O48" s="20"/>
      <c r="Q48" s="8"/>
      <c r="R48" s="9"/>
      <c r="S48" s="25"/>
      <c r="T48" s="20"/>
      <c r="AE48" s="8"/>
      <c r="AF48" s="9"/>
      <c r="AG48" s="25"/>
    </row>
    <row r="49" spans="2:33" ht="11.65" thickBot="1" x14ac:dyDescent="0.35">
      <c r="B49" s="24" t="s">
        <v>31</v>
      </c>
      <c r="C49" s="18">
        <f>C40+C42+C47</f>
        <v>466210</v>
      </c>
      <c r="D49" s="27">
        <f>D40+D42+D47</f>
        <v>545769.47896226414</v>
      </c>
      <c r="G49" s="24" t="s">
        <v>31</v>
      </c>
      <c r="H49" s="18">
        <f>H40+H42+H47</f>
        <v>466210</v>
      </c>
      <c r="I49" s="27">
        <f>I40+I42+I47</f>
        <v>563240.33818396227</v>
      </c>
      <c r="J49" s="20"/>
      <c r="L49" s="24" t="s">
        <v>31</v>
      </c>
      <c r="M49" s="18">
        <f>M40+M42+M47</f>
        <v>466210</v>
      </c>
      <c r="N49" s="27">
        <f>N40+N42+N47</f>
        <v>569063.95792452828</v>
      </c>
      <c r="O49" s="20"/>
      <c r="Q49" s="24" t="s">
        <v>31</v>
      </c>
      <c r="R49" s="18">
        <f>R40+R42+R47</f>
        <v>466210</v>
      </c>
      <c r="S49" s="27">
        <f>S40+S42+S47</f>
        <v>541212.81714300788</v>
      </c>
      <c r="T49" s="20"/>
      <c r="AE49" s="24" t="s">
        <v>31</v>
      </c>
      <c r="AF49" s="18">
        <f>AF40+AF42+AF47</f>
        <v>466210</v>
      </c>
      <c r="AG49" s="27">
        <f>AG40+AG42+AG47</f>
        <v>530197.37794094323</v>
      </c>
    </row>
    <row r="50" spans="2:33" ht="11.65" thickTop="1" x14ac:dyDescent="0.3">
      <c r="H50" s="2"/>
      <c r="J50" s="20"/>
      <c r="M50" s="2"/>
      <c r="O50" s="20"/>
      <c r="R50" s="2"/>
      <c r="T50" s="20"/>
      <c r="AF50" s="2"/>
    </row>
    <row r="51" spans="2:33" x14ac:dyDescent="0.3">
      <c r="B51" s="1" t="s">
        <v>36</v>
      </c>
      <c r="D51" s="41">
        <f>D35-D49</f>
        <v>13682.52103773586</v>
      </c>
      <c r="G51" s="1" t="s">
        <v>36</v>
      </c>
      <c r="H51" s="2"/>
      <c r="I51" s="41">
        <f>I35-I49</f>
        <v>66143.161816037726</v>
      </c>
      <c r="J51" s="20"/>
      <c r="L51" s="1" t="s">
        <v>36</v>
      </c>
      <c r="M51" s="2"/>
      <c r="N51" s="41">
        <f>N35-N49</f>
        <v>83630.04207547172</v>
      </c>
      <c r="O51" s="20"/>
      <c r="Q51" s="1" t="s">
        <v>36</v>
      </c>
      <c r="R51" s="2"/>
      <c r="S51" s="41">
        <f>S35-S49</f>
        <v>0</v>
      </c>
      <c r="T51" s="49" t="s">
        <v>46</v>
      </c>
      <c r="AE51" s="1" t="s">
        <v>36</v>
      </c>
      <c r="AF51" s="2"/>
      <c r="AG51" s="41">
        <f>AG35-AG49</f>
        <v>0</v>
      </c>
    </row>
    <row r="54" spans="2:33" x14ac:dyDescent="0.3">
      <c r="Q54" s="45" t="s">
        <v>50</v>
      </c>
      <c r="AE54" s="45" t="s">
        <v>50</v>
      </c>
    </row>
    <row r="55" spans="2:33" x14ac:dyDescent="0.3">
      <c r="Q55" s="1" t="s">
        <v>52</v>
      </c>
      <c r="AE55" s="1" t="s">
        <v>52</v>
      </c>
    </row>
    <row r="56" spans="2:33" x14ac:dyDescent="0.3">
      <c r="Q56" s="1" t="s">
        <v>53</v>
      </c>
      <c r="R56" s="5">
        <f>R13/R35</f>
        <v>0.17961862679908197</v>
      </c>
      <c r="AE56" s="1" t="s">
        <v>53</v>
      </c>
      <c r="AF56" s="5">
        <f>AF13/AF35</f>
        <v>0.17961862679908197</v>
      </c>
    </row>
    <row r="57" spans="2:33" x14ac:dyDescent="0.3">
      <c r="Q57" s="1" t="s">
        <v>54</v>
      </c>
      <c r="R57" s="47">
        <f>1-R19</f>
        <v>0.67190112252209211</v>
      </c>
      <c r="T57" s="1" t="s">
        <v>51</v>
      </c>
      <c r="AE57" s="1" t="s">
        <v>54</v>
      </c>
      <c r="AF57" s="47">
        <f>1-AF19</f>
        <v>0.67190112252209211</v>
      </c>
    </row>
    <row r="58" spans="2:33" x14ac:dyDescent="0.3">
      <c r="Q58" s="1" t="s">
        <v>55</v>
      </c>
      <c r="R58" s="47">
        <f>(R56*R57)/(1-(R56*R57))</f>
        <v>0.13725011891839148</v>
      </c>
      <c r="AE58" s="1" t="s">
        <v>55</v>
      </c>
      <c r="AF58" s="47">
        <f>(AF56*AF57)/(1-(AF56*AF57))</f>
        <v>0.13725011891839148</v>
      </c>
    </row>
    <row r="60" spans="2:33" x14ac:dyDescent="0.3">
      <c r="Q60" s="58" t="s">
        <v>58</v>
      </c>
      <c r="R60" s="59" t="b">
        <f>ROUND(R58,4)=ROUND(S21,4)</f>
        <v>0</v>
      </c>
      <c r="AE60" s="58" t="s">
        <v>58</v>
      </c>
      <c r="AF60" s="59" t="b">
        <f>ROUND(AF58,4)=ROUND(AG21,4)</f>
        <v>1</v>
      </c>
    </row>
    <row r="62" spans="2:33" x14ac:dyDescent="0.3">
      <c r="Q62" s="45" t="s">
        <v>59</v>
      </c>
    </row>
    <row r="63" spans="2:33" x14ac:dyDescent="0.3">
      <c r="P63" s="64" t="s">
        <v>71</v>
      </c>
      <c r="Q63" s="1" t="s">
        <v>67</v>
      </c>
    </row>
    <row r="64" spans="2:33" x14ac:dyDescent="0.3">
      <c r="Q64" s="1" t="s">
        <v>68</v>
      </c>
    </row>
    <row r="65" spans="16:17" x14ac:dyDescent="0.3">
      <c r="P65" s="64" t="s">
        <v>71</v>
      </c>
      <c r="Q65" s="1" t="s">
        <v>69</v>
      </c>
    </row>
    <row r="66" spans="16:17" x14ac:dyDescent="0.3">
      <c r="Q66" s="1" t="s">
        <v>70</v>
      </c>
    </row>
    <row r="67" spans="16:17" x14ac:dyDescent="0.3">
      <c r="P67" s="6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8CEC3-AF5C-4166-B669-06BC1A40386D}">
  <dimension ref="B2:E62"/>
  <sheetViews>
    <sheetView showGridLines="0" topLeftCell="A7" zoomScale="96" zoomScaleNormal="96" workbookViewId="0">
      <selection activeCell="B23" sqref="B23:E31"/>
    </sheetView>
  </sheetViews>
  <sheetFormatPr defaultRowHeight="11.25" x14ac:dyDescent="0.3"/>
  <cols>
    <col min="1" max="1" width="6.06640625" style="1" customWidth="1"/>
    <col min="2" max="2" width="27.19921875" style="1" bestFit="1" customWidth="1"/>
    <col min="3" max="3" width="12.9296875" style="2" customWidth="1"/>
    <col min="4" max="4" width="12.9296875" style="1" customWidth="1"/>
    <col min="5" max="5" width="9.06640625" style="20"/>
    <col min="6" max="16384" width="9.06640625" style="1"/>
  </cols>
  <sheetData>
    <row r="2" spans="2:5" x14ac:dyDescent="0.3">
      <c r="B2" s="1" t="s">
        <v>0</v>
      </c>
      <c r="C2" s="34" t="s">
        <v>37</v>
      </c>
      <c r="D2" s="35">
        <v>1</v>
      </c>
    </row>
    <row r="4" spans="2:5" x14ac:dyDescent="0.3">
      <c r="B4" s="31" t="s">
        <v>17</v>
      </c>
      <c r="C4" s="32" t="s">
        <v>13</v>
      </c>
      <c r="D4" s="33" t="s">
        <v>15</v>
      </c>
    </row>
    <row r="5" spans="2:5" x14ac:dyDescent="0.3">
      <c r="B5" s="28"/>
      <c r="C5" s="29"/>
      <c r="D5" s="30"/>
    </row>
    <row r="6" spans="2:5" x14ac:dyDescent="0.3">
      <c r="B6" s="8" t="s">
        <v>1</v>
      </c>
      <c r="C6" s="9">
        <v>686530</v>
      </c>
      <c r="D6" s="10">
        <f>(1+$D$21)*C6</f>
        <v>823836</v>
      </c>
    </row>
    <row r="7" spans="2:5" x14ac:dyDescent="0.3">
      <c r="B7" s="8" t="s">
        <v>2</v>
      </c>
      <c r="C7" s="9">
        <v>554420</v>
      </c>
      <c r="D7" s="10">
        <f t="shared" ref="D7:D8" si="0">(1+$D$21)*C7</f>
        <v>665304</v>
      </c>
    </row>
    <row r="8" spans="2:5" x14ac:dyDescent="0.3">
      <c r="B8" s="11" t="s">
        <v>3</v>
      </c>
      <c r="C8" s="3">
        <v>14020</v>
      </c>
      <c r="D8" s="12">
        <f t="shared" si="0"/>
        <v>16824</v>
      </c>
    </row>
    <row r="9" spans="2:5" x14ac:dyDescent="0.3">
      <c r="B9" s="8" t="s">
        <v>4</v>
      </c>
      <c r="C9" s="9">
        <f>C6-C7-C8</f>
        <v>118090</v>
      </c>
      <c r="D9" s="13">
        <f>D6-D7-D8</f>
        <v>141708</v>
      </c>
    </row>
    <row r="10" spans="2:5" x14ac:dyDescent="0.3">
      <c r="B10" s="11" t="s">
        <v>5</v>
      </c>
      <c r="C10" s="3">
        <v>12090</v>
      </c>
      <c r="D10" s="12">
        <f>C10</f>
        <v>12090</v>
      </c>
      <c r="E10" s="20" t="s">
        <v>16</v>
      </c>
    </row>
    <row r="11" spans="2:5" x14ac:dyDescent="0.3">
      <c r="B11" s="8" t="s">
        <v>6</v>
      </c>
      <c r="C11" s="9">
        <v>106000</v>
      </c>
      <c r="D11" s="13">
        <f>D9-D10</f>
        <v>129618</v>
      </c>
    </row>
    <row r="12" spans="2:5" x14ac:dyDescent="0.3">
      <c r="B12" s="11" t="s">
        <v>7</v>
      </c>
      <c r="C12" s="3">
        <v>22260</v>
      </c>
      <c r="D12" s="14">
        <f>$C$18*D11</f>
        <v>27219.78</v>
      </c>
    </row>
    <row r="13" spans="2:5" ht="11.65" thickBot="1" x14ac:dyDescent="0.35">
      <c r="B13" s="15" t="s">
        <v>8</v>
      </c>
      <c r="C13" s="16">
        <f>C11-C12</f>
        <v>83740</v>
      </c>
      <c r="D13" s="17">
        <f>D11-D12</f>
        <v>102398.22</v>
      </c>
    </row>
    <row r="14" spans="2:5" ht="11.65" thickTop="1" x14ac:dyDescent="0.3"/>
    <row r="15" spans="2:5" x14ac:dyDescent="0.3">
      <c r="B15" s="1" t="s">
        <v>9</v>
      </c>
      <c r="C15" s="2">
        <v>27475</v>
      </c>
      <c r="D15" s="2">
        <f>D13*C19</f>
        <v>33596.741037735854</v>
      </c>
    </row>
    <row r="16" spans="2:5" x14ac:dyDescent="0.3">
      <c r="B16" s="1" t="s">
        <v>10</v>
      </c>
      <c r="C16" s="2">
        <f>C13-C15</f>
        <v>56265</v>
      </c>
      <c r="D16" s="2">
        <f>D13-D15</f>
        <v>68801.47896226414</v>
      </c>
    </row>
    <row r="18" spans="2:5" x14ac:dyDescent="0.3">
      <c r="B18" s="1" t="s">
        <v>12</v>
      </c>
      <c r="C18" s="5">
        <f>C12/C11</f>
        <v>0.21</v>
      </c>
      <c r="D18" s="5">
        <f>D12/D11</f>
        <v>0.21</v>
      </c>
      <c r="E18" s="20" t="s">
        <v>16</v>
      </c>
    </row>
    <row r="19" spans="2:5" x14ac:dyDescent="0.3">
      <c r="B19" s="1" t="s">
        <v>11</v>
      </c>
      <c r="C19" s="5">
        <f>C15/C13</f>
        <v>0.32809887747790784</v>
      </c>
      <c r="D19" s="5">
        <f>D15/D13</f>
        <v>0.32809887747790784</v>
      </c>
      <c r="E19" s="20" t="s">
        <v>16</v>
      </c>
    </row>
    <row r="21" spans="2:5" x14ac:dyDescent="0.3">
      <c r="B21" s="1" t="s">
        <v>14</v>
      </c>
      <c r="D21" s="4">
        <v>0.2</v>
      </c>
    </row>
    <row r="22" spans="2:5" x14ac:dyDescent="0.3">
      <c r="D22" s="4"/>
    </row>
    <row r="23" spans="2:5" x14ac:dyDescent="0.3">
      <c r="B23" s="1" t="s">
        <v>41</v>
      </c>
      <c r="C23" s="5">
        <f>(C50+C52)/C57</f>
        <v>0.71586831306012033</v>
      </c>
      <c r="D23" s="5">
        <f>(D50+D52)/D57</f>
        <v>0.71586831306012033</v>
      </c>
      <c r="E23" s="20" t="s">
        <v>16</v>
      </c>
    </row>
    <row r="24" spans="2:5" x14ac:dyDescent="0.3">
      <c r="C24" s="5"/>
      <c r="D24" s="5"/>
    </row>
    <row r="25" spans="2:5" x14ac:dyDescent="0.3">
      <c r="B25" s="45" t="s">
        <v>45</v>
      </c>
      <c r="C25" s="5"/>
      <c r="D25" s="5"/>
    </row>
    <row r="26" spans="2:5" x14ac:dyDescent="0.3">
      <c r="B26" s="1" t="s">
        <v>42</v>
      </c>
      <c r="D26" s="6">
        <f>D57</f>
        <v>340506.47896226414</v>
      </c>
    </row>
    <row r="27" spans="2:5" x14ac:dyDescent="0.3">
      <c r="B27" s="1" t="s">
        <v>44</v>
      </c>
      <c r="D27" s="6">
        <f>C23*D26</f>
        <v>243757.79868075738</v>
      </c>
    </row>
    <row r="28" spans="2:5" x14ac:dyDescent="0.3">
      <c r="B28" s="46" t="s">
        <v>27</v>
      </c>
      <c r="C28" s="3"/>
      <c r="D28" s="7">
        <f>C52</f>
        <v>127500</v>
      </c>
      <c r="E28" s="20" t="s">
        <v>16</v>
      </c>
    </row>
    <row r="29" spans="2:5" x14ac:dyDescent="0.3">
      <c r="B29" s="1" t="s">
        <v>28</v>
      </c>
      <c r="D29" s="6">
        <f>D27-D28</f>
        <v>116257.79868075738</v>
      </c>
    </row>
    <row r="30" spans="2:5" x14ac:dyDescent="0.3">
      <c r="B30" s="46" t="s">
        <v>26</v>
      </c>
      <c r="C30" s="3"/>
      <c r="D30" s="7">
        <f>C49</f>
        <v>13215</v>
      </c>
      <c r="E30" s="20" t="s">
        <v>16</v>
      </c>
    </row>
    <row r="31" spans="2:5" x14ac:dyDescent="0.3">
      <c r="B31" s="1" t="s">
        <v>25</v>
      </c>
      <c r="D31" s="6">
        <f>D29-D30</f>
        <v>103042.79868075738</v>
      </c>
    </row>
    <row r="32" spans="2:5" x14ac:dyDescent="0.3">
      <c r="D32" s="4"/>
    </row>
    <row r="34" spans="2:5" x14ac:dyDescent="0.3">
      <c r="B34" s="31" t="s">
        <v>18</v>
      </c>
      <c r="C34" s="32" t="s">
        <v>13</v>
      </c>
      <c r="D34" s="33" t="s">
        <v>15</v>
      </c>
    </row>
    <row r="35" spans="2:5" x14ac:dyDescent="0.3">
      <c r="B35" s="28"/>
      <c r="C35" s="29"/>
      <c r="D35" s="30"/>
    </row>
    <row r="36" spans="2:5" x14ac:dyDescent="0.3">
      <c r="B36" s="8" t="s">
        <v>34</v>
      </c>
      <c r="C36" s="9"/>
      <c r="D36" s="25"/>
    </row>
    <row r="37" spans="2:5" x14ac:dyDescent="0.3">
      <c r="B37" s="21" t="s">
        <v>19</v>
      </c>
      <c r="C37" s="9">
        <v>20940</v>
      </c>
      <c r="D37" s="10">
        <f>(1+$D$21)*C37</f>
        <v>25128</v>
      </c>
    </row>
    <row r="38" spans="2:5" x14ac:dyDescent="0.3">
      <c r="B38" s="21" t="s">
        <v>20</v>
      </c>
      <c r="C38" s="9">
        <v>31970</v>
      </c>
      <c r="D38" s="10">
        <f>(1+$D$21)*C38</f>
        <v>38364</v>
      </c>
    </row>
    <row r="39" spans="2:5" x14ac:dyDescent="0.3">
      <c r="B39" s="22" t="s">
        <v>21</v>
      </c>
      <c r="C39" s="3">
        <v>71320</v>
      </c>
      <c r="D39" s="10">
        <f>(1+$D$21)*C39</f>
        <v>85584</v>
      </c>
    </row>
    <row r="40" spans="2:5" x14ac:dyDescent="0.3">
      <c r="B40" s="23" t="s">
        <v>22</v>
      </c>
      <c r="C40" s="19">
        <f>SUM(C37:C39)</f>
        <v>124230</v>
      </c>
      <c r="D40" s="26">
        <f>SUM(D37:D39)</f>
        <v>149076</v>
      </c>
    </row>
    <row r="41" spans="2:5" x14ac:dyDescent="0.3">
      <c r="B41" s="8"/>
      <c r="C41" s="9"/>
      <c r="D41" s="25"/>
    </row>
    <row r="42" spans="2:5" x14ac:dyDescent="0.3">
      <c r="B42" s="8" t="s">
        <v>33</v>
      </c>
      <c r="C42" s="9"/>
      <c r="D42" s="25"/>
    </row>
    <row r="43" spans="2:5" x14ac:dyDescent="0.3">
      <c r="B43" s="22" t="s">
        <v>23</v>
      </c>
      <c r="C43" s="3">
        <v>341980</v>
      </c>
      <c r="D43" s="12">
        <f>(1+$D$21)*C43</f>
        <v>410376</v>
      </c>
    </row>
    <row r="44" spans="2:5" x14ac:dyDescent="0.3">
      <c r="B44" s="8"/>
      <c r="C44" s="9"/>
      <c r="D44" s="25"/>
    </row>
    <row r="45" spans="2:5" ht="11.65" thickBot="1" x14ac:dyDescent="0.35">
      <c r="B45" s="24" t="s">
        <v>32</v>
      </c>
      <c r="C45" s="18">
        <f>C40+C43</f>
        <v>466210</v>
      </c>
      <c r="D45" s="27">
        <f>D40+D43</f>
        <v>559452</v>
      </c>
    </row>
    <row r="46" spans="2:5" ht="11.65" thickTop="1" x14ac:dyDescent="0.3">
      <c r="B46" s="8"/>
      <c r="C46" s="9"/>
      <c r="D46" s="25"/>
    </row>
    <row r="47" spans="2:5" x14ac:dyDescent="0.3">
      <c r="B47" s="8" t="s">
        <v>24</v>
      </c>
      <c r="C47" s="9"/>
      <c r="D47" s="25"/>
    </row>
    <row r="48" spans="2:5" x14ac:dyDescent="0.3">
      <c r="B48" s="21" t="s">
        <v>25</v>
      </c>
      <c r="C48" s="9">
        <v>53790</v>
      </c>
      <c r="D48" s="42">
        <f>D31</f>
        <v>103042.79868075738</v>
      </c>
      <c r="E48" s="20" t="s">
        <v>43</v>
      </c>
    </row>
    <row r="49" spans="2:5" x14ac:dyDescent="0.3">
      <c r="B49" s="22" t="s">
        <v>26</v>
      </c>
      <c r="C49" s="3">
        <v>13215</v>
      </c>
      <c r="D49" s="10">
        <f>C49</f>
        <v>13215</v>
      </c>
      <c r="E49" s="20" t="s">
        <v>16</v>
      </c>
    </row>
    <row r="50" spans="2:5" x14ac:dyDescent="0.3">
      <c r="B50" s="23" t="s">
        <v>28</v>
      </c>
      <c r="C50" s="19">
        <f>SUM(C48:C49)</f>
        <v>67005</v>
      </c>
      <c r="D50" s="44">
        <f>SUM(D48:D49)</f>
        <v>116257.79868075738</v>
      </c>
    </row>
    <row r="51" spans="2:5" x14ac:dyDescent="0.3">
      <c r="B51" s="8"/>
      <c r="C51" s="9"/>
      <c r="D51" s="25"/>
    </row>
    <row r="52" spans="2:5" x14ac:dyDescent="0.3">
      <c r="B52" s="8" t="s">
        <v>27</v>
      </c>
      <c r="C52" s="9">
        <v>127500</v>
      </c>
      <c r="D52" s="10">
        <f>C52</f>
        <v>127500</v>
      </c>
      <c r="E52" s="20" t="s">
        <v>16</v>
      </c>
    </row>
    <row r="53" spans="2:5" x14ac:dyDescent="0.3">
      <c r="B53" s="8"/>
      <c r="C53" s="9"/>
      <c r="D53" s="25"/>
    </row>
    <row r="54" spans="2:5" x14ac:dyDescent="0.3">
      <c r="B54" s="8" t="s">
        <v>35</v>
      </c>
      <c r="C54" s="9"/>
      <c r="D54" s="25"/>
    </row>
    <row r="55" spans="2:5" x14ac:dyDescent="0.3">
      <c r="B55" s="21" t="s">
        <v>29</v>
      </c>
      <c r="C55" s="9">
        <v>105000</v>
      </c>
      <c r="D55" s="10">
        <f>C55</f>
        <v>105000</v>
      </c>
      <c r="E55" s="20" t="s">
        <v>16</v>
      </c>
    </row>
    <row r="56" spans="2:5" x14ac:dyDescent="0.3">
      <c r="B56" s="22" t="s">
        <v>30</v>
      </c>
      <c r="C56" s="3">
        <v>166705</v>
      </c>
      <c r="D56" s="14">
        <f>C56+D16</f>
        <v>235506.47896226414</v>
      </c>
    </row>
    <row r="57" spans="2:5" x14ac:dyDescent="0.3">
      <c r="B57" s="23" t="s">
        <v>42</v>
      </c>
      <c r="C57" s="19">
        <f>SUM(C55:C56)</f>
        <v>271705</v>
      </c>
      <c r="D57" s="26">
        <f>SUM(D55:D56)</f>
        <v>340506.47896226414</v>
      </c>
    </row>
    <row r="58" spans="2:5" x14ac:dyDescent="0.3">
      <c r="B58" s="8"/>
      <c r="C58" s="9"/>
      <c r="D58" s="25"/>
    </row>
    <row r="59" spans="2:5" ht="11.65" thickBot="1" x14ac:dyDescent="0.35">
      <c r="B59" s="24" t="s">
        <v>31</v>
      </c>
      <c r="C59" s="18">
        <f>C50+C52+C57</f>
        <v>466210</v>
      </c>
      <c r="D59" s="27">
        <f>D50+D52+D57</f>
        <v>584264.27764302155</v>
      </c>
    </row>
    <row r="60" spans="2:5" ht="11.65" thickTop="1" x14ac:dyDescent="0.3"/>
    <row r="61" spans="2:5" x14ac:dyDescent="0.3">
      <c r="C61" s="5"/>
      <c r="D61" s="5"/>
    </row>
    <row r="62" spans="2:5" x14ac:dyDescent="0.3">
      <c r="B62" s="1" t="s">
        <v>36</v>
      </c>
      <c r="D62" s="41">
        <f>D45-D59</f>
        <v>-24812.277643021545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05D99-5011-485A-A507-95B39EEEEC70}">
  <dimension ref="B2:O59"/>
  <sheetViews>
    <sheetView showGridLines="0" topLeftCell="A32" zoomScale="96" zoomScaleNormal="96" workbookViewId="0">
      <selection activeCell="K53" sqref="K53"/>
    </sheetView>
  </sheetViews>
  <sheetFormatPr defaultRowHeight="11.25" x14ac:dyDescent="0.3"/>
  <cols>
    <col min="1" max="1" width="6.06640625" style="1" customWidth="1"/>
    <col min="2" max="2" width="27.19921875" style="1" bestFit="1" customWidth="1"/>
    <col min="3" max="3" width="12.9296875" style="2" customWidth="1"/>
    <col min="4" max="4" width="12.9296875" style="1" customWidth="1"/>
    <col min="5" max="5" width="9.06640625" style="20"/>
    <col min="6" max="7" width="9.06640625" style="1"/>
    <col min="8" max="8" width="29.1328125" style="1" customWidth="1"/>
    <col min="9" max="9" width="12.9296875" style="2" customWidth="1"/>
    <col min="10" max="10" width="12.9296875" style="1" customWidth="1"/>
    <col min="11" max="11" width="9.06640625" style="20"/>
    <col min="12" max="16384" width="9.06640625" style="1"/>
  </cols>
  <sheetData>
    <row r="2" spans="2:11" x14ac:dyDescent="0.3">
      <c r="B2" s="1" t="s">
        <v>0</v>
      </c>
      <c r="C2" s="34" t="s">
        <v>37</v>
      </c>
      <c r="D2" s="35">
        <v>1</v>
      </c>
      <c r="H2" s="1" t="s">
        <v>0</v>
      </c>
      <c r="I2" s="34" t="s">
        <v>37</v>
      </c>
      <c r="J2" s="35">
        <v>0.8</v>
      </c>
    </row>
    <row r="4" spans="2:11" x14ac:dyDescent="0.3">
      <c r="B4" s="31" t="s">
        <v>17</v>
      </c>
      <c r="C4" s="32" t="s">
        <v>13</v>
      </c>
      <c r="D4" s="33" t="s">
        <v>15</v>
      </c>
      <c r="H4" s="31" t="s">
        <v>17</v>
      </c>
      <c r="I4" s="32" t="s">
        <v>13</v>
      </c>
      <c r="J4" s="33" t="s">
        <v>15</v>
      </c>
    </row>
    <row r="5" spans="2:11" x14ac:dyDescent="0.3">
      <c r="B5" s="28"/>
      <c r="C5" s="29"/>
      <c r="D5" s="30"/>
      <c r="H5" s="28"/>
      <c r="I5" s="29"/>
      <c r="J5" s="30"/>
    </row>
    <row r="6" spans="2:11" x14ac:dyDescent="0.3">
      <c r="B6" s="8" t="s">
        <v>1</v>
      </c>
      <c r="C6" s="9">
        <v>686530</v>
      </c>
      <c r="D6" s="10">
        <f>(1+$D$21)*C6</f>
        <v>823836</v>
      </c>
      <c r="H6" s="8" t="s">
        <v>1</v>
      </c>
      <c r="I6" s="9">
        <v>686530</v>
      </c>
      <c r="J6" s="10">
        <f>(1+$J$21)*I6</f>
        <v>823836</v>
      </c>
    </row>
    <row r="7" spans="2:11" x14ac:dyDescent="0.3">
      <c r="B7" s="8" t="s">
        <v>2</v>
      </c>
      <c r="C7" s="9">
        <v>554420</v>
      </c>
      <c r="D7" s="10">
        <f t="shared" ref="D7:D8" si="0">(1+$D$21)*C7</f>
        <v>665304</v>
      </c>
      <c r="H7" s="8" t="s">
        <v>2</v>
      </c>
      <c r="I7" s="9">
        <v>554420</v>
      </c>
      <c r="J7" s="10">
        <f>(1+$J$21)*I7</f>
        <v>665304</v>
      </c>
    </row>
    <row r="8" spans="2:11" x14ac:dyDescent="0.3">
      <c r="B8" s="11" t="s">
        <v>3</v>
      </c>
      <c r="C8" s="3">
        <v>14020</v>
      </c>
      <c r="D8" s="12">
        <f t="shared" si="0"/>
        <v>16824</v>
      </c>
      <c r="H8" s="11" t="s">
        <v>3</v>
      </c>
      <c r="I8" s="3">
        <v>14020</v>
      </c>
      <c r="J8" s="12">
        <f>(1+$J$21)*I8</f>
        <v>16824</v>
      </c>
    </row>
    <row r="9" spans="2:11" x14ac:dyDescent="0.3">
      <c r="B9" s="8" t="s">
        <v>4</v>
      </c>
      <c r="C9" s="9">
        <f>C6-C7-C8</f>
        <v>118090</v>
      </c>
      <c r="D9" s="13">
        <f>D6-D7-D8</f>
        <v>141708</v>
      </c>
      <c r="H9" s="8" t="s">
        <v>4</v>
      </c>
      <c r="I9" s="9">
        <f>I6-I7-I8</f>
        <v>118090</v>
      </c>
      <c r="J9" s="13">
        <f>J6-J7-J8</f>
        <v>141708</v>
      </c>
    </row>
    <row r="10" spans="2:11" x14ac:dyDescent="0.3">
      <c r="B10" s="11" t="s">
        <v>5</v>
      </c>
      <c r="C10" s="3">
        <v>12090</v>
      </c>
      <c r="D10" s="12">
        <f>C10</f>
        <v>12090</v>
      </c>
      <c r="E10" s="20" t="s">
        <v>16</v>
      </c>
      <c r="H10" s="11" t="s">
        <v>5</v>
      </c>
      <c r="I10" s="3">
        <v>12090</v>
      </c>
      <c r="J10" s="12">
        <f>I10</f>
        <v>12090</v>
      </c>
      <c r="K10" s="20" t="s">
        <v>16</v>
      </c>
    </row>
    <row r="11" spans="2:11" x14ac:dyDescent="0.3">
      <c r="B11" s="8" t="s">
        <v>6</v>
      </c>
      <c r="C11" s="9">
        <v>106000</v>
      </c>
      <c r="D11" s="13">
        <f>D9-D10</f>
        <v>129618</v>
      </c>
      <c r="H11" s="8" t="s">
        <v>6</v>
      </c>
      <c r="I11" s="9">
        <v>106000</v>
      </c>
      <c r="J11" s="13">
        <f>J9-J10</f>
        <v>129618</v>
      </c>
    </row>
    <row r="12" spans="2:11" x14ac:dyDescent="0.3">
      <c r="B12" s="11" t="s">
        <v>7</v>
      </c>
      <c r="C12" s="3">
        <v>22260</v>
      </c>
      <c r="D12" s="14">
        <f>$C$18*D11</f>
        <v>27219.78</v>
      </c>
      <c r="H12" s="11" t="s">
        <v>7</v>
      </c>
      <c r="I12" s="3">
        <v>22260</v>
      </c>
      <c r="J12" s="14">
        <f>$I$18*J11</f>
        <v>27219.78</v>
      </c>
    </row>
    <row r="13" spans="2:11" ht="11.65" thickBot="1" x14ac:dyDescent="0.35">
      <c r="B13" s="15" t="s">
        <v>8</v>
      </c>
      <c r="C13" s="16">
        <f>C11-C12</f>
        <v>83740</v>
      </c>
      <c r="D13" s="17">
        <f>D11-D12</f>
        <v>102398.22</v>
      </c>
      <c r="H13" s="15" t="s">
        <v>8</v>
      </c>
      <c r="I13" s="16">
        <f>I11-I12</f>
        <v>83740</v>
      </c>
      <c r="J13" s="17">
        <f>J11-J12</f>
        <v>102398.22</v>
      </c>
    </row>
    <row r="14" spans="2:11" ht="11.65" thickTop="1" x14ac:dyDescent="0.3"/>
    <row r="15" spans="2:11" x14ac:dyDescent="0.3">
      <c r="B15" s="1" t="s">
        <v>9</v>
      </c>
      <c r="C15" s="2">
        <v>27475</v>
      </c>
      <c r="D15" s="2">
        <f>D13*C19</f>
        <v>33596.741037735854</v>
      </c>
      <c r="H15" s="1" t="s">
        <v>9</v>
      </c>
      <c r="I15" s="2">
        <v>27475</v>
      </c>
      <c r="J15" s="2">
        <f>J13*I19</f>
        <v>33596.741037735854</v>
      </c>
    </row>
    <row r="16" spans="2:11" x14ac:dyDescent="0.3">
      <c r="B16" s="1" t="s">
        <v>10</v>
      </c>
      <c r="C16" s="2">
        <f>C13-C15</f>
        <v>56265</v>
      </c>
      <c r="D16" s="2">
        <f>D13-D15</f>
        <v>68801.47896226414</v>
      </c>
      <c r="H16" s="1" t="s">
        <v>10</v>
      </c>
      <c r="I16" s="2">
        <f>I13-I15</f>
        <v>56265</v>
      </c>
      <c r="J16" s="2">
        <f>J13-J15</f>
        <v>68801.47896226414</v>
      </c>
    </row>
    <row r="18" spans="2:15" x14ac:dyDescent="0.3">
      <c r="B18" s="1" t="s">
        <v>12</v>
      </c>
      <c r="C18" s="5">
        <f>C12/C11</f>
        <v>0.21</v>
      </c>
      <c r="D18" s="5">
        <f>D12/D11</f>
        <v>0.21</v>
      </c>
      <c r="E18" s="20" t="s">
        <v>16</v>
      </c>
      <c r="H18" s="1" t="s">
        <v>12</v>
      </c>
      <c r="I18" s="5">
        <f>I12/I11</f>
        <v>0.21</v>
      </c>
      <c r="J18" s="5">
        <f>J12/J11</f>
        <v>0.21</v>
      </c>
      <c r="K18" s="20" t="s">
        <v>16</v>
      </c>
    </row>
    <row r="19" spans="2:15" x14ac:dyDescent="0.3">
      <c r="B19" s="1" t="s">
        <v>11</v>
      </c>
      <c r="C19" s="5">
        <f>C15/C13</f>
        <v>0.32809887747790784</v>
      </c>
      <c r="D19" s="5">
        <f>D15/D13</f>
        <v>0.32809887747790784</v>
      </c>
      <c r="E19" s="20" t="s">
        <v>16</v>
      </c>
      <c r="H19" s="1" t="s">
        <v>11</v>
      </c>
      <c r="I19" s="5">
        <f>I15/I13</f>
        <v>0.32809887747790784</v>
      </c>
      <c r="J19" s="5">
        <f>J15/J13</f>
        <v>0.32809887747790784</v>
      </c>
      <c r="K19" s="20" t="s">
        <v>16</v>
      </c>
    </row>
    <row r="20" spans="2:15" x14ac:dyDescent="0.3">
      <c r="I20" s="37"/>
    </row>
    <row r="21" spans="2:15" x14ac:dyDescent="0.3">
      <c r="B21" s="1" t="s">
        <v>14</v>
      </c>
      <c r="D21" s="4">
        <v>0.2</v>
      </c>
      <c r="H21" s="1" t="s">
        <v>14</v>
      </c>
      <c r="J21" s="4">
        <v>0.2</v>
      </c>
    </row>
    <row r="24" spans="2:15" x14ac:dyDescent="0.3">
      <c r="H24" s="39" t="s">
        <v>37</v>
      </c>
      <c r="I24" s="39" t="s">
        <v>1</v>
      </c>
      <c r="J24" s="39" t="s">
        <v>39</v>
      </c>
    </row>
    <row r="25" spans="2:15" ht="14.25" customHeight="1" x14ac:dyDescent="0.3">
      <c r="H25" s="36">
        <v>0.8</v>
      </c>
      <c r="I25" s="2">
        <f>I6</f>
        <v>686530</v>
      </c>
      <c r="J25" s="6"/>
      <c r="K25" s="43" t="s">
        <v>40</v>
      </c>
      <c r="L25" s="43"/>
      <c r="M25" s="43"/>
      <c r="N25" s="43"/>
      <c r="O25" s="43"/>
    </row>
    <row r="26" spans="2:15" x14ac:dyDescent="0.3">
      <c r="H26" s="36" t="s">
        <v>38</v>
      </c>
      <c r="I26" s="9">
        <f>J6</f>
        <v>823836</v>
      </c>
      <c r="J26" s="6"/>
      <c r="K26" s="43"/>
      <c r="L26" s="43"/>
      <c r="M26" s="43"/>
      <c r="N26" s="43"/>
      <c r="O26" s="43"/>
    </row>
    <row r="27" spans="2:15" x14ac:dyDescent="0.3">
      <c r="H27" s="38">
        <v>1</v>
      </c>
      <c r="I27" s="3">
        <f>H27/H25*I25</f>
        <v>858162.5</v>
      </c>
      <c r="J27" s="7">
        <f>I41</f>
        <v>341980</v>
      </c>
      <c r="K27" s="43"/>
      <c r="L27" s="43"/>
      <c r="M27" s="43"/>
      <c r="N27" s="43"/>
      <c r="O27" s="43"/>
    </row>
    <row r="28" spans="2:15" x14ac:dyDescent="0.3">
      <c r="H28" s="36"/>
    </row>
    <row r="29" spans="2:15" x14ac:dyDescent="0.3">
      <c r="H29" s="36"/>
    </row>
    <row r="32" spans="2:15" x14ac:dyDescent="0.3">
      <c r="B32" s="31" t="s">
        <v>18</v>
      </c>
      <c r="C32" s="32" t="s">
        <v>13</v>
      </c>
      <c r="D32" s="33" t="s">
        <v>15</v>
      </c>
      <c r="H32" s="31" t="s">
        <v>18</v>
      </c>
      <c r="I32" s="32" t="s">
        <v>13</v>
      </c>
      <c r="J32" s="33" t="s">
        <v>15</v>
      </c>
    </row>
    <row r="33" spans="2:11" x14ac:dyDescent="0.3">
      <c r="B33" s="28"/>
      <c r="C33" s="29"/>
      <c r="D33" s="30"/>
      <c r="H33" s="28"/>
      <c r="I33" s="29"/>
      <c r="J33" s="30"/>
    </row>
    <row r="34" spans="2:11" x14ac:dyDescent="0.3">
      <c r="B34" s="8" t="s">
        <v>34</v>
      </c>
      <c r="C34" s="9"/>
      <c r="D34" s="25"/>
      <c r="H34" s="8" t="s">
        <v>34</v>
      </c>
      <c r="I34" s="9"/>
      <c r="J34" s="25"/>
    </row>
    <row r="35" spans="2:11" x14ac:dyDescent="0.3">
      <c r="B35" s="21" t="s">
        <v>19</v>
      </c>
      <c r="C35" s="9">
        <v>20940</v>
      </c>
      <c r="D35" s="10">
        <f>(1+$D$21)*C35</f>
        <v>25128</v>
      </c>
      <c r="H35" s="21" t="s">
        <v>19</v>
      </c>
      <c r="I35" s="9">
        <v>20940</v>
      </c>
      <c r="J35" s="10">
        <f>(1+$J$21)*I35</f>
        <v>25128</v>
      </c>
    </row>
    <row r="36" spans="2:11" x14ac:dyDescent="0.3">
      <c r="B36" s="21" t="s">
        <v>20</v>
      </c>
      <c r="C36" s="9">
        <v>31970</v>
      </c>
      <c r="D36" s="10">
        <f>(1+$D$21)*C36</f>
        <v>38364</v>
      </c>
      <c r="H36" s="21" t="s">
        <v>20</v>
      </c>
      <c r="I36" s="9">
        <v>31970</v>
      </c>
      <c r="J36" s="10">
        <f>(1+$J$21)*I36</f>
        <v>38364</v>
      </c>
    </row>
    <row r="37" spans="2:11" x14ac:dyDescent="0.3">
      <c r="B37" s="22" t="s">
        <v>21</v>
      </c>
      <c r="C37" s="3">
        <v>71320</v>
      </c>
      <c r="D37" s="10">
        <f>(1+$D$21)*C37</f>
        <v>85584</v>
      </c>
      <c r="H37" s="22" t="s">
        <v>21</v>
      </c>
      <c r="I37" s="3">
        <v>71320</v>
      </c>
      <c r="J37" s="10">
        <f>(1+$J$21)*I37</f>
        <v>85584</v>
      </c>
    </row>
    <row r="38" spans="2:11" x14ac:dyDescent="0.3">
      <c r="B38" s="23" t="s">
        <v>22</v>
      </c>
      <c r="C38" s="19">
        <f>SUM(C35:C37)</f>
        <v>124230</v>
      </c>
      <c r="D38" s="26">
        <f>SUM(D35:D37)</f>
        <v>149076</v>
      </c>
      <c r="H38" s="23" t="s">
        <v>22</v>
      </c>
      <c r="I38" s="19">
        <f>SUM(I35:I37)</f>
        <v>124230</v>
      </c>
      <c r="J38" s="26">
        <f>SUM(J35:J37)</f>
        <v>149076</v>
      </c>
      <c r="K38" s="40"/>
    </row>
    <row r="39" spans="2:11" x14ac:dyDescent="0.3">
      <c r="B39" s="8"/>
      <c r="C39" s="9"/>
      <c r="D39" s="25"/>
      <c r="H39" s="8"/>
      <c r="I39" s="9"/>
      <c r="J39" s="25"/>
    </row>
    <row r="40" spans="2:11" x14ac:dyDescent="0.3">
      <c r="B40" s="8" t="s">
        <v>33</v>
      </c>
      <c r="C40" s="9"/>
      <c r="D40" s="25"/>
      <c r="H40" s="8" t="s">
        <v>33</v>
      </c>
      <c r="I40" s="9"/>
      <c r="J40" s="25"/>
    </row>
    <row r="41" spans="2:11" x14ac:dyDescent="0.3">
      <c r="B41" s="22" t="s">
        <v>23</v>
      </c>
      <c r="C41" s="3">
        <v>341980</v>
      </c>
      <c r="D41" s="12">
        <f>(1+$D$21)*C41</f>
        <v>410376</v>
      </c>
      <c r="H41" s="22" t="s">
        <v>23</v>
      </c>
      <c r="I41" s="3">
        <v>341980</v>
      </c>
      <c r="J41" s="12">
        <f>I41</f>
        <v>341980</v>
      </c>
      <c r="K41" s="20" t="s">
        <v>16</v>
      </c>
    </row>
    <row r="42" spans="2:11" x14ac:dyDescent="0.3">
      <c r="B42" s="8"/>
      <c r="C42" s="9"/>
      <c r="D42" s="25"/>
      <c r="H42" s="8"/>
      <c r="I42" s="9"/>
      <c r="J42" s="25"/>
    </row>
    <row r="43" spans="2:11" ht="11.65" thickBot="1" x14ac:dyDescent="0.35">
      <c r="B43" s="24" t="s">
        <v>32</v>
      </c>
      <c r="C43" s="18">
        <f>C38+C41</f>
        <v>466210</v>
      </c>
      <c r="D43" s="27">
        <f>D38+D41</f>
        <v>559452</v>
      </c>
      <c r="H43" s="24" t="s">
        <v>32</v>
      </c>
      <c r="I43" s="18">
        <f>I38+I41</f>
        <v>466210</v>
      </c>
      <c r="J43" s="27">
        <f>J38+J41</f>
        <v>491056</v>
      </c>
    </row>
    <row r="44" spans="2:11" ht="11.65" thickTop="1" x14ac:dyDescent="0.3">
      <c r="B44" s="8"/>
      <c r="C44" s="9"/>
      <c r="D44" s="25"/>
      <c r="H44" s="8"/>
      <c r="I44" s="9"/>
      <c r="J44" s="25"/>
    </row>
    <row r="45" spans="2:11" x14ac:dyDescent="0.3">
      <c r="B45" s="8" t="s">
        <v>24</v>
      </c>
      <c r="C45" s="9"/>
      <c r="D45" s="25"/>
      <c r="H45" s="8" t="s">
        <v>24</v>
      </c>
      <c r="I45" s="9"/>
      <c r="J45" s="25"/>
    </row>
    <row r="46" spans="2:11" x14ac:dyDescent="0.3">
      <c r="B46" s="21" t="s">
        <v>25</v>
      </c>
      <c r="C46" s="9">
        <v>53790</v>
      </c>
      <c r="D46" s="10">
        <f>(1+$D$21)*C46</f>
        <v>64548</v>
      </c>
      <c r="H46" s="21" t="s">
        <v>25</v>
      </c>
      <c r="I46" s="9">
        <v>53790</v>
      </c>
      <c r="J46" s="10">
        <f>(1+$J$21)*I46</f>
        <v>64548</v>
      </c>
    </row>
    <row r="47" spans="2:11" x14ac:dyDescent="0.3">
      <c r="B47" s="22" t="s">
        <v>26</v>
      </c>
      <c r="C47" s="3">
        <v>13215</v>
      </c>
      <c r="D47" s="10">
        <f>C47</f>
        <v>13215</v>
      </c>
      <c r="E47" s="20" t="s">
        <v>16</v>
      </c>
      <c r="H47" s="22" t="s">
        <v>26</v>
      </c>
      <c r="I47" s="3">
        <v>13215</v>
      </c>
      <c r="J47" s="10">
        <f>I47</f>
        <v>13215</v>
      </c>
      <c r="K47" s="20" t="s">
        <v>16</v>
      </c>
    </row>
    <row r="48" spans="2:11" x14ac:dyDescent="0.3">
      <c r="B48" s="23" t="s">
        <v>28</v>
      </c>
      <c r="C48" s="19">
        <f>SUM(C46:C47)</f>
        <v>67005</v>
      </c>
      <c r="D48" s="26">
        <f>SUM(D46:D47)</f>
        <v>77763</v>
      </c>
      <c r="H48" s="23" t="s">
        <v>28</v>
      </c>
      <c r="I48" s="19">
        <f>SUM(I46:I47)</f>
        <v>67005</v>
      </c>
      <c r="J48" s="26">
        <f>SUM(J46:J47)</f>
        <v>77763</v>
      </c>
    </row>
    <row r="49" spans="2:11" x14ac:dyDescent="0.3">
      <c r="B49" s="8"/>
      <c r="C49" s="9"/>
      <c r="D49" s="25"/>
      <c r="H49" s="8"/>
      <c r="I49" s="9"/>
      <c r="J49" s="25"/>
    </row>
    <row r="50" spans="2:11" x14ac:dyDescent="0.3">
      <c r="B50" s="8" t="s">
        <v>27</v>
      </c>
      <c r="C50" s="9">
        <v>127500</v>
      </c>
      <c r="D50" s="10">
        <f>C50</f>
        <v>127500</v>
      </c>
      <c r="E50" s="20" t="s">
        <v>16</v>
      </c>
      <c r="H50" s="8" t="s">
        <v>27</v>
      </c>
      <c r="I50" s="9">
        <v>127500</v>
      </c>
      <c r="J50" s="10">
        <f>I50</f>
        <v>127500</v>
      </c>
      <c r="K50" s="20" t="s">
        <v>16</v>
      </c>
    </row>
    <row r="51" spans="2:11" x14ac:dyDescent="0.3">
      <c r="B51" s="8"/>
      <c r="C51" s="9"/>
      <c r="D51" s="25"/>
      <c r="H51" s="8"/>
      <c r="I51" s="9"/>
      <c r="J51" s="25"/>
    </row>
    <row r="52" spans="2:11" x14ac:dyDescent="0.3">
      <c r="B52" s="8" t="s">
        <v>35</v>
      </c>
      <c r="C52" s="9"/>
      <c r="D52" s="25"/>
      <c r="H52" s="8" t="s">
        <v>35</v>
      </c>
      <c r="I52" s="9"/>
      <c r="J52" s="25"/>
    </row>
    <row r="53" spans="2:11" x14ac:dyDescent="0.3">
      <c r="B53" s="21" t="s">
        <v>29</v>
      </c>
      <c r="C53" s="9">
        <v>105000</v>
      </c>
      <c r="D53" s="10">
        <f>C53</f>
        <v>105000</v>
      </c>
      <c r="E53" s="20" t="s">
        <v>16</v>
      </c>
      <c r="H53" s="21" t="s">
        <v>29</v>
      </c>
      <c r="I53" s="9">
        <v>105000</v>
      </c>
      <c r="J53" s="10">
        <f>I53</f>
        <v>105000</v>
      </c>
      <c r="K53" s="20" t="s">
        <v>16</v>
      </c>
    </row>
    <row r="54" spans="2:11" x14ac:dyDescent="0.3">
      <c r="B54" s="22" t="s">
        <v>30</v>
      </c>
      <c r="C54" s="3">
        <v>166705</v>
      </c>
      <c r="D54" s="14">
        <f>C54+D16</f>
        <v>235506.47896226414</v>
      </c>
      <c r="H54" s="22" t="s">
        <v>30</v>
      </c>
      <c r="I54" s="3">
        <v>166705</v>
      </c>
      <c r="J54" s="14">
        <f>I54+J16</f>
        <v>235506.47896226414</v>
      </c>
    </row>
    <row r="55" spans="2:11" x14ac:dyDescent="0.3">
      <c r="B55" s="23" t="s">
        <v>42</v>
      </c>
      <c r="C55" s="19">
        <f>SUM(C53:C54)</f>
        <v>271705</v>
      </c>
      <c r="D55" s="26">
        <f>SUM(D53:D54)</f>
        <v>340506.47896226414</v>
      </c>
      <c r="H55" s="23" t="s">
        <v>42</v>
      </c>
      <c r="I55" s="19">
        <f>SUM(I53:I54)</f>
        <v>271705</v>
      </c>
      <c r="J55" s="26">
        <f>SUM(J53:J54)</f>
        <v>340506.47896226414</v>
      </c>
    </row>
    <row r="56" spans="2:11" x14ac:dyDescent="0.3">
      <c r="B56" s="8"/>
      <c r="C56" s="9"/>
      <c r="D56" s="25"/>
      <c r="H56" s="8"/>
      <c r="I56" s="9"/>
      <c r="J56" s="25"/>
    </row>
    <row r="57" spans="2:11" ht="11.65" thickBot="1" x14ac:dyDescent="0.35">
      <c r="B57" s="24" t="s">
        <v>31</v>
      </c>
      <c r="C57" s="18">
        <f>C48+C50+C55</f>
        <v>466210</v>
      </c>
      <c r="D57" s="27">
        <f>D48+D50+D55</f>
        <v>545769.47896226414</v>
      </c>
      <c r="H57" s="24" t="s">
        <v>31</v>
      </c>
      <c r="I57" s="18">
        <f>I48+I50+I55</f>
        <v>466210</v>
      </c>
      <c r="J57" s="27">
        <f>J48+J50+J55</f>
        <v>545769.47896226414</v>
      </c>
    </row>
    <row r="58" spans="2:11" ht="11.65" thickTop="1" x14ac:dyDescent="0.3"/>
    <row r="59" spans="2:11" x14ac:dyDescent="0.3">
      <c r="B59" s="1" t="s">
        <v>36</v>
      </c>
      <c r="D59" s="41">
        <f>D43-D57</f>
        <v>13682.52103773586</v>
      </c>
      <c r="H59" s="1" t="s">
        <v>36</v>
      </c>
      <c r="J59" s="41">
        <f>J43-J57</f>
        <v>-54713.47896226414</v>
      </c>
    </row>
  </sheetData>
  <mergeCells count="1">
    <mergeCell ref="K25:O27"/>
  </mergeCells>
  <phoneticPr fontId="3" type="noConversion"/>
  <pageMargins left="0.7" right="0.7" top="0.75" bottom="0.75" header="0.3" footer="0.3"/>
  <ignoredErrors>
    <ignoredError sqref="C4:D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28</vt:lpstr>
      <vt:lpstr>27</vt:lpstr>
      <vt:lpstr>26</vt:lpstr>
      <vt:lpstr>24 and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Keuangan</dc:creator>
  <cp:lastModifiedBy>Keuangan</cp:lastModifiedBy>
  <dcterms:created xsi:type="dcterms:W3CDTF">2026-03-06T09:12:46Z</dcterms:created>
  <dcterms:modified xsi:type="dcterms:W3CDTF">2026-03-07T04:51:23Z</dcterms:modified>
</cp:coreProperties>
</file>